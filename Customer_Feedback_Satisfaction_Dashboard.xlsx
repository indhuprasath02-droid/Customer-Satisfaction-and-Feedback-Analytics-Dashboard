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Cleaned_Data" sheetId="2" state="visible" r:id="rId4"/>
    <sheet name="KPI_Calculations" sheetId="3" state="visible" r:id="rId5"/>
    <sheet name="Pivot_Tables" sheetId="4" state="visible" r:id="rId6"/>
    <sheet name="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<sst xmlns="http://schemas.openxmlformats.org/spreadsheetml/2006/main" count="4231" uniqueCount="152">
  <si>
    <t xml:space="preserve">CustomerID</t>
  </si>
  <si>
    <t xml:space="preserve">Age</t>
  </si>
  <si>
    <t xml:space="preserve">Gender</t>
  </si>
  <si>
    <t xml:space="preserve">Country</t>
  </si>
  <si>
    <t xml:space="preserve">Income</t>
  </si>
  <si>
    <t xml:space="preserve">ProductQuality</t>
  </si>
  <si>
    <t xml:space="preserve">ServiceQuality</t>
  </si>
  <si>
    <t xml:space="preserve">PurchaseFrequency</t>
  </si>
  <si>
    <t xml:space="preserve">FeedbackScore</t>
  </si>
  <si>
    <t xml:space="preserve">LoyaltyLevel</t>
  </si>
  <si>
    <t xml:space="preserve">SatisfactionScore</t>
  </si>
  <si>
    <t xml:space="preserve">Male</t>
  </si>
  <si>
    <t xml:space="preserve">UK</t>
  </si>
  <si>
    <t xml:space="preserve">Low</t>
  </si>
  <si>
    <t xml:space="preserve">Bronze</t>
  </si>
  <si>
    <t xml:space="preserve">Medium</t>
  </si>
  <si>
    <t xml:space="preserve">Gold</t>
  </si>
  <si>
    <t xml:space="preserve">Female</t>
  </si>
  <si>
    <t xml:space="preserve">USA</t>
  </si>
  <si>
    <t xml:space="preserve">Silver</t>
  </si>
  <si>
    <t xml:space="preserve">France</t>
  </si>
  <si>
    <t xml:space="preserve">High</t>
  </si>
  <si>
    <t xml:space="preserve">Germany</t>
  </si>
  <si>
    <t xml:space="preserve">Canada</t>
  </si>
  <si>
    <t xml:space="preserve">CLEANED DATA — Customer Feedback &amp; Satisfaction Dashboard</t>
  </si>
  <si>
    <t xml:space="preserve">Age_Group</t>
  </si>
  <si>
    <t xml:space="preserve">Income_Band</t>
  </si>
  <si>
    <t xml:space="preserve">Product_Quality_Level</t>
  </si>
  <si>
    <t xml:space="preserve">Service_Quality_Level</t>
  </si>
  <si>
    <t xml:space="preserve">Purchase_Freq_Band</t>
  </si>
  <si>
    <t xml:space="preserve">Satisfaction_Status</t>
  </si>
  <si>
    <t xml:space="preserve">Loyalty_Tier_Clean</t>
  </si>
  <si>
    <t xml:space="preserve">Feedback_Sentiment</t>
  </si>
  <si>
    <t xml:space="preserve">Customer_Value_Segment</t>
  </si>
  <si>
    <t xml:space="preserve">Quality_Exp_Flag</t>
  </si>
  <si>
    <t xml:space="preserve">Repeat_Purchase_Flag</t>
  </si>
  <si>
    <t xml:space="preserve">At_Risk_Flag</t>
  </si>
  <si>
    <t xml:space="preserve">Priority_Followup_Flag</t>
  </si>
  <si>
    <t xml:space="preserve">KPI CALCULATIONS — Customer Feedback &amp; Satisfaction Dashboard</t>
  </si>
  <si>
    <t xml:space="preserve">KPI Name</t>
  </si>
  <si>
    <t xml:space="preserve">Business Meaning</t>
  </si>
  <si>
    <t xml:space="preserve">Source Column</t>
  </si>
  <si>
    <t xml:space="preserve">Formula</t>
  </si>
  <si>
    <t xml:space="preserve">Calculated Value</t>
  </si>
  <si>
    <t xml:space="preserve">Format</t>
  </si>
  <si>
    <t xml:space="preserve">Total Customers</t>
  </si>
  <si>
    <t xml:space="preserve">Total unique customers in dataset</t>
  </si>
  <si>
    <t xml:space="preserve">CustomerID (A)</t>
  </si>
  <si>
    <t xml:space="preserve">Number</t>
  </si>
  <si>
    <t xml:space="preserve">Avg Satisfaction Score</t>
  </si>
  <si>
    <t xml:space="preserve">Mean satisfaction score (0-100)</t>
  </si>
  <si>
    <t xml:space="preserve">SatisfactionScore (K)</t>
  </si>
  <si>
    <t xml:space="preserve">0.00</t>
  </si>
  <si>
    <t xml:space="preserve">Avg Product Quality</t>
  </si>
  <si>
    <t xml:space="preserve">Avg product quality rating (1-10)</t>
  </si>
  <si>
    <t xml:space="preserve">ProductQuality (F)</t>
  </si>
  <si>
    <t xml:space="preserve">Avg Service Quality</t>
  </si>
  <si>
    <t xml:space="preserve">Avg service quality rating (1-10)</t>
  </si>
  <si>
    <t xml:space="preserve">ServiceQuality (G)</t>
  </si>
  <si>
    <t xml:space="preserve">Avg Purchase Frequency</t>
  </si>
  <si>
    <t xml:space="preserve">Avg purchases per customer</t>
  </si>
  <si>
    <t xml:space="preserve">PurchaseFrequency (H)</t>
  </si>
  <si>
    <t xml:space="preserve">0.0</t>
  </si>
  <si>
    <t xml:space="preserve">Positive Feedback Count</t>
  </si>
  <si>
    <t xml:space="preserve">Customers with High FeedbackScore</t>
  </si>
  <si>
    <t xml:space="preserve">FeedbackScore (I)</t>
  </si>
  <si>
    <t xml:space="preserve">Neutral Feedback Count</t>
  </si>
  <si>
    <t xml:space="preserve">Customers with Medium FeedbackScore</t>
  </si>
  <si>
    <t xml:space="preserve">Negative Feedback Count</t>
  </si>
  <si>
    <t xml:space="preserve">Customers with Low FeedbackScore</t>
  </si>
  <si>
    <t xml:space="preserve">Gold Loyalty Customers</t>
  </si>
  <si>
    <t xml:space="preserve">Customers with Gold loyalty level</t>
  </si>
  <si>
    <t xml:space="preserve">LoyaltyLevel (J)</t>
  </si>
  <si>
    <t xml:space="preserve">Silver Loyalty Customers</t>
  </si>
  <si>
    <t xml:space="preserve">Customers with Silver loyalty level</t>
  </si>
  <si>
    <t xml:space="preserve">Bronze Loyalty Customers</t>
  </si>
  <si>
    <t xml:space="preserve">Customers with Bronze loyalty level</t>
  </si>
  <si>
    <t xml:space="preserve">At-Risk Customers</t>
  </si>
  <si>
    <t xml:space="preserve">SatisfactionScore&lt;70 AND FeedbackScore=Low</t>
  </si>
  <si>
    <t xml:space="preserve">At_Risk_Flag (W)</t>
  </si>
  <si>
    <t xml:space="preserve">Avg Customer Income</t>
  </si>
  <si>
    <t xml:space="preserve">Average annual income ($)</t>
  </si>
  <si>
    <t xml:space="preserve">Income (E)</t>
  </si>
  <si>
    <t xml:space="preserve">Currency</t>
  </si>
  <si>
    <t xml:space="preserve">Customer Satisfaction Rate</t>
  </si>
  <si>
    <t xml:space="preserve">% customers with Score &gt;= 75</t>
  </si>
  <si>
    <t xml:space="preserve">Percentage</t>
  </si>
  <si>
    <t xml:space="preserve">Priority Follow-Up Count</t>
  </si>
  <si>
    <t xml:space="preserve">Bronze + Low Score + Low Feedback</t>
  </si>
  <si>
    <t xml:space="preserve">Priority_Followup_Flag (X)</t>
  </si>
  <si>
    <t xml:space="preserve">Highly Satisfied Customers</t>
  </si>
  <si>
    <t xml:space="preserve">SatisfactionScore &gt;= 90</t>
  </si>
  <si>
    <t xml:space="preserve">Dissatisfied Customers</t>
  </si>
  <si>
    <t xml:space="preserve">SatisfactionScore &lt; 60</t>
  </si>
  <si>
    <t xml:space="preserve">Repeat Buyers</t>
  </si>
  <si>
    <t xml:space="preserve">PurchaseFrequency &gt;= 10 (Repeat_Purchase_Flag)</t>
  </si>
  <si>
    <t xml:space="preserve">Repeat_Purchase_Flag (V)</t>
  </si>
  <si>
    <t xml:space="preserve">High Quality Experience</t>
  </si>
  <si>
    <t xml:space="preserve">Both ProductQuality &amp; ServiceQuality &gt;= 7</t>
  </si>
  <si>
    <t xml:space="preserve">Quality_Exp_Flag (U)</t>
  </si>
  <si>
    <t xml:space="preserve">Premium Customers</t>
  </si>
  <si>
    <t xml:space="preserve">High income + High purchase frequency</t>
  </si>
  <si>
    <t xml:space="preserve">Customer_Value_Segment (T)</t>
  </si>
  <si>
    <t xml:space="preserve">Positive Feedback Rate</t>
  </si>
  <si>
    <t xml:space="preserve">% customers with High FeedbackScore</t>
  </si>
  <si>
    <t xml:space="preserve">Negative Feedback Rate</t>
  </si>
  <si>
    <t xml:space="preserve">% customers with Low FeedbackScore</t>
  </si>
  <si>
    <t xml:space="preserve">PIVOT TABLES — Customer Feedback &amp; Satisfaction Dashboard</t>
  </si>
  <si>
    <t xml:space="preserve">PT1: Avg Satisfaction Score by Country</t>
  </si>
  <si>
    <t xml:space="preserve">PT2: Satisfaction by Loyalty Level</t>
  </si>
  <si>
    <t xml:space="preserve">PT3: Product &amp; Service Quality by Country</t>
  </si>
  <si>
    <t xml:space="preserve">Customer Count</t>
  </si>
  <si>
    <t xml:space="preserve">Avg Satisfaction</t>
  </si>
  <si>
    <t xml:space="preserve">Avg Income</t>
  </si>
  <si>
    <t xml:space="preserve">Loyalty Level</t>
  </si>
  <si>
    <t xml:space="preserve">Count</t>
  </si>
  <si>
    <t xml:space="preserve">Avg Prod Quality</t>
  </si>
  <si>
    <t xml:space="preserve">Avg Svc Quality</t>
  </si>
  <si>
    <t xml:space="preserve">PT4: Feedback Distribution by Country</t>
  </si>
  <si>
    <t xml:space="preserve">PT5: Satisfaction by Gender</t>
  </si>
  <si>
    <t xml:space="preserve">PT6: At-Risk Customers by Country</t>
  </si>
  <si>
    <t xml:space="preserve">Total</t>
  </si>
  <si>
    <t xml:space="preserve">At-Risk</t>
  </si>
  <si>
    <t xml:space="preserve">At-Risk %</t>
  </si>
  <si>
    <t xml:space="preserve">2.7%</t>
  </si>
  <si>
    <t xml:space="preserve">2.1%</t>
  </si>
  <si>
    <t xml:space="preserve">3.2%</t>
  </si>
  <si>
    <t xml:space="preserve">6.0%</t>
  </si>
  <si>
    <t xml:space="preserve">PT7: Satisfaction by Purchase Frequency Band</t>
  </si>
  <si>
    <t xml:space="preserve">PT8: Income Band vs Loyalty Level</t>
  </si>
  <si>
    <t xml:space="preserve">Frequency Band</t>
  </si>
  <si>
    <t xml:space="preserve">Income Band</t>
  </si>
  <si>
    <t xml:space="preserve">Low(1-5)</t>
  </si>
  <si>
    <t xml:space="preserve">Low(&lt;50K)</t>
  </si>
  <si>
    <t xml:space="preserve">Moderate(6-10)</t>
  </si>
  <si>
    <t xml:space="preserve">Middle(50-80K)</t>
  </si>
  <si>
    <t xml:space="preserve">High(11-15)</t>
  </si>
  <si>
    <t xml:space="preserve">UpperMid(80-100K)</t>
  </si>
  <si>
    <t xml:space="preserve">Very High(16-20)</t>
  </si>
  <si>
    <t xml:space="preserve">High(&gt;100K)</t>
  </si>
  <si>
    <t xml:space="preserve">CUSTOMER FEEDBACK &amp; SATISFACTION DASHBOARD</t>
  </si>
  <si>
    <t xml:space="preserve">Customer Experience Analytics  |  500 Customers  |  USA | UK | Canada | France | Germany  |  3 Loyalty Tiers  |  Microsoft Excel</t>
  </si>
  <si>
    <t xml:space="preserve">Positive Feedback</t>
  </si>
  <si>
    <t xml:space="preserve">Negative Feedback</t>
  </si>
  <si>
    <t xml:space="preserve">Priority Follow-Up</t>
  </si>
  <si>
    <t xml:space="preserve">SATISFACTION BY COUNTRY</t>
  </si>
  <si>
    <t xml:space="preserve">PRODUCT &amp; SERVICE QUALITY</t>
  </si>
  <si>
    <t xml:space="preserve">LOYALTY DISTRIBUTION</t>
  </si>
  <si>
    <t xml:space="preserve">FEEDBACK SENTIMENT BY COUNTRY</t>
  </si>
  <si>
    <t xml:space="preserve">AT-RISK CUSTOMER ANALYSIS</t>
  </si>
  <si>
    <t xml:space="preserve">SATISFACTION BY PURCHASE FREQUENCY</t>
  </si>
  <si>
    <t xml:space="preserve">Data Source: Cleaned_Data  |  KPIs: KPI_Calculations Sheet  |  Charts: Pivot_Tables Sheet  |  500 Customers  |  5 Countries  |  Microsoft Excel Portfolio Project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</si>
</sst>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"/>
    <numFmt numFmtId="167" formatCode="\$#,##0"/>
    <numFmt numFmtId="168" formatCode="0.0%"/>
    <numFmt numFmtId="169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A5276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i val="true"/>
      <sz val="10"/>
      <color rgb="FFBDC3C7"/>
      <name val="Arial"/>
      <family val="0"/>
      <charset val="1"/>
    </font>
    <font>
      <b val="true"/>
      <sz val="24"/>
      <color rgb="FFFFFF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i val="true"/>
      <sz val="9"/>
      <color rgb="FF7F8C8D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1F3864"/>
        <bgColor rgb="FF2C3E50"/>
      </patternFill>
    </fill>
    <fill>
      <patternFill patternType="solid">
        <fgColor rgb="FFF2F2F2"/>
        <bgColor rgb="FFF5EEF8"/>
      </patternFill>
    </fill>
    <fill>
      <patternFill patternType="solid">
        <fgColor rgb="FF2E75B6"/>
        <bgColor rgb="FF2980B9"/>
      </patternFill>
    </fill>
    <fill>
      <patternFill patternType="solid">
        <fgColor rgb="FF148F77"/>
        <bgColor rgb="FF16A085"/>
      </patternFill>
    </fill>
    <fill>
      <patternFill patternType="solid">
        <fgColor rgb="FFE8F8F5"/>
        <bgColor rgb="FFEBF5FB"/>
      </patternFill>
    </fill>
    <fill>
      <patternFill patternType="solid">
        <fgColor rgb="FFD1F2EB"/>
        <bgColor rgb="FFD5F5E3"/>
      </patternFill>
    </fill>
    <fill>
      <patternFill patternType="solid">
        <fgColor rgb="FF4A4A4A"/>
        <bgColor rgb="FF2C3E50"/>
      </patternFill>
    </fill>
    <fill>
      <patternFill patternType="solid">
        <fgColor rgb="FFEBF5FB"/>
        <bgColor rgb="FFE8F8F5"/>
      </patternFill>
    </fill>
    <fill>
      <patternFill patternType="solid">
        <fgColor rgb="FFD6EAF8"/>
        <bgColor rgb="FFD6E4F0"/>
      </patternFill>
    </fill>
    <fill>
      <patternFill patternType="solid">
        <fgColor rgb="FFFEF9E7"/>
        <bgColor rgb="FFF9F9F9"/>
      </patternFill>
    </fill>
    <fill>
      <patternFill patternType="solid">
        <fgColor rgb="FFD5F5E3"/>
        <bgColor rgb="FFD1F2EB"/>
      </patternFill>
    </fill>
    <fill>
      <patternFill patternType="solid">
        <fgColor rgb="FFE67E22"/>
        <bgColor rgb="FFFF9900"/>
      </patternFill>
    </fill>
    <fill>
      <patternFill patternType="solid">
        <fgColor rgb="FFD6E4F0"/>
        <bgColor rgb="FFD6EAF8"/>
      </patternFill>
    </fill>
    <fill>
      <patternFill patternType="solid">
        <fgColor rgb="FF8E44AD"/>
        <bgColor rgb="FFC0504D"/>
      </patternFill>
    </fill>
    <fill>
      <patternFill patternType="solid">
        <fgColor rgb="FFC0392B"/>
        <bgColor rgb="FFC0504D"/>
      </patternFill>
    </fill>
    <fill>
      <patternFill patternType="solid">
        <fgColor rgb="FFF5EEF8"/>
        <bgColor rgb="FFF2F2F2"/>
      </patternFill>
    </fill>
    <fill>
      <patternFill patternType="solid">
        <fgColor rgb="FFFADBD8"/>
        <bgColor rgb="FFD9D9D9"/>
      </patternFill>
    </fill>
    <fill>
      <patternFill patternType="solid">
        <fgColor rgb="FF27AE60"/>
        <bgColor rgb="FF16A085"/>
      </patternFill>
    </fill>
    <fill>
      <patternFill patternType="solid">
        <fgColor rgb="FF1C2833"/>
        <bgColor rgb="FF17202A"/>
      </patternFill>
    </fill>
    <fill>
      <patternFill patternType="solid">
        <fgColor rgb="FF2C3E50"/>
        <bgColor rgb="FF1F3864"/>
      </patternFill>
    </fill>
    <fill>
      <patternFill patternType="solid">
        <fgColor rgb="FF1ABC9C"/>
        <bgColor rgb="FF16A085"/>
      </patternFill>
    </fill>
    <fill>
      <patternFill patternType="solid">
        <fgColor rgb="FF17202A"/>
        <bgColor rgb="FF1C2833"/>
      </patternFill>
    </fill>
    <fill>
      <patternFill patternType="solid">
        <fgColor rgb="FF16A085"/>
        <bgColor rgb="FF148F77"/>
      </patternFill>
    </fill>
    <fill>
      <patternFill patternType="solid">
        <fgColor rgb="FF2980B9"/>
        <bgColor rgb="FF2E75B6"/>
      </patternFill>
    </fill>
    <fill>
      <patternFill patternType="solid">
        <fgColor rgb="FFB7950B"/>
        <bgColor rgb="FFE67E2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2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2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2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2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9F9F9"/>
      <rgbColor rgb="FFFF00FF"/>
      <rgbColor rgb="FF00FFFF"/>
      <rgbColor rgb="FF800000"/>
      <rgbColor rgb="FF008000"/>
      <rgbColor rgb="FF000080"/>
      <rgbColor rgb="FFB7950B"/>
      <rgbColor rgb="FF800080"/>
      <rgbColor rgb="FF148F77"/>
      <rgbColor rgb="FFBDC3C7"/>
      <rgbColor rgb="FF878787"/>
      <rgbColor rgb="FFD6EAF8"/>
      <rgbColor rgb="FF8E44AD"/>
      <rgbColor rgb="FFFEF9E7"/>
      <rgbColor rgb="FFD1F2EB"/>
      <rgbColor rgb="FF4A4A4A"/>
      <rgbColor rgb="FFFF8080"/>
      <rgbColor rgb="FF2980B9"/>
      <rgbColor rgb="FFCCCCCC"/>
      <rgbColor rgb="FF000080"/>
      <rgbColor rgb="FFFF00FF"/>
      <rgbColor rgb="FFEBF5FB"/>
      <rgbColor rgb="FF00FFFF"/>
      <rgbColor rgb="FF800080"/>
      <rgbColor rgb="FF800000"/>
      <rgbColor rgb="FF16A085"/>
      <rgbColor rgb="FF0000FF"/>
      <rgbColor rgb="FF00CCFF"/>
      <rgbColor rgb="FFE8F8F5"/>
      <rgbColor rgb="FFD5F5E3"/>
      <rgbColor rgb="FFF2F2F2"/>
      <rgbColor rgb="FFD6E4F0"/>
      <rgbColor rgb="FFF5EEF8"/>
      <rgbColor rgb="FFD9D9D9"/>
      <rgbColor rgb="FFFADBD8"/>
      <rgbColor rgb="FF2E75B6"/>
      <rgbColor rgb="FF1ABC9C"/>
      <rgbColor rgb="FF9BBB59"/>
      <rgbColor rgb="FFF1C40F"/>
      <rgbColor rgb="FFFF9900"/>
      <rgbColor rgb="FFE67E22"/>
      <rgbColor rgb="FF4F81BD"/>
      <rgbColor rgb="FF7F8C8D"/>
      <rgbColor rgb="FF1F3864"/>
      <rgbColor rgb="FF27AE60"/>
      <rgbColor rgb="FF17202A"/>
      <rgbColor rgb="FF1C2833"/>
      <rgbColor rgb="FFC0392B"/>
      <rgbColor rgb="FFC0504D"/>
      <rgbColor rgb="FF1A5276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Satisfaction Score by Country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Pivot_Tables!$A$5:$A$9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Pivot_Tables!$C$4:$C$8</c:f>
              <c:numCache>
                <c:formatCode>General</c:formatCode>
                <c:ptCount val="5"/>
                <c:pt idx="1">
                  <c:v>87.38</c:v>
                </c:pt>
                <c:pt idx="2">
                  <c:v>88.87</c:v>
                </c:pt>
                <c:pt idx="3">
                  <c:v>88.42</c:v>
                </c:pt>
                <c:pt idx="4">
                  <c:v>87.91</c:v>
                </c:pt>
              </c:numCache>
            </c:numRef>
          </c:val>
        </c:ser>
        <c:gapWidth val="150"/>
        <c:overlap val="0"/>
        <c:axId val="21944881"/>
        <c:axId val="20424519"/>
      </c:barChart>
      <c:catAx>
        <c:axId val="219448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424519"/>
        <c:crosses val="autoZero"/>
        <c:auto val="1"/>
        <c:lblAlgn val="ctr"/>
        <c:lblOffset val="100"/>
        <c:noMultiLvlLbl val="0"/>
      </c:catAx>
      <c:valAx>
        <c:axId val="204245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9448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Product vs Service Quality by Country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"Avg Prod Quality"</c:f>
              <c:strCache>
                <c:ptCount val="1"/>
                <c:pt idx="0">
                  <c:v>Avg Prod Quality</c:v>
                </c:pt>
              </c:strCache>
            </c:strRef>
          </c:tx>
          <c:spPr>
            <a:solidFill>
              <a:srgbClr val="148f7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Pivot_Tables!$J$5:$J$9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Pivot_Tables!$K$4:$K$8</c:f>
              <c:numCache>
                <c:formatCode>General</c:formatCode>
                <c:ptCount val="5"/>
                <c:pt idx="1">
                  <c:v>5.67</c:v>
                </c:pt>
                <c:pt idx="2">
                  <c:v>5.62</c:v>
                </c:pt>
                <c:pt idx="3">
                  <c:v>5.64</c:v>
                </c:pt>
                <c:pt idx="4">
                  <c:v>5.67</c:v>
                </c:pt>
              </c:numCache>
            </c:numRef>
          </c:val>
        </c:ser>
        <c:ser>
          <c:idx val="1"/>
          <c:order val="1"/>
          <c:tx>
            <c:strRef>
              <c:f>"Avg Svc Quality"</c:f>
              <c:strCache>
                <c:ptCount val="1"/>
                <c:pt idx="0">
                  <c:v>Avg Svc Quality</c:v>
                </c:pt>
              </c:strCache>
            </c:strRef>
          </c:tx>
          <c:spPr>
            <a:solidFill>
              <a:srgbClr val="e67e2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Pivot_Tables!$J$5:$J$9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Pivot_Tables!$L$4:$L$8</c:f>
              <c:numCache>
                <c:formatCode>General</c:formatCode>
                <c:ptCount val="5"/>
                <c:pt idx="1">
                  <c:v>5.41</c:v>
                </c:pt>
                <c:pt idx="2">
                  <c:v>5.96</c:v>
                </c:pt>
                <c:pt idx="3">
                  <c:v>5.9</c:v>
                </c:pt>
                <c:pt idx="4">
                  <c:v>5.88</c:v>
                </c:pt>
              </c:numCache>
            </c:numRef>
          </c:val>
        </c:ser>
        <c:gapWidth val="150"/>
        <c:overlap val="0"/>
        <c:axId val="95141327"/>
        <c:axId val="98573018"/>
      </c:barChart>
      <c:catAx>
        <c:axId val="95141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573018"/>
        <c:crosses val="autoZero"/>
        <c:auto val="1"/>
        <c:lblAlgn val="ctr"/>
        <c:lblOffset val="100"/>
        <c:noMultiLvlLbl val="0"/>
      </c:catAx>
      <c:valAx>
        <c:axId val="985730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Rating (1-10)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1413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Customer Loyalty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Pivot_Tables!$F$5:$F$7</c:f>
              <c:strCache>
                <c:ptCount val="3"/>
                <c:pt idx="0">
                  <c:v>Bronze</c:v>
                </c:pt>
                <c:pt idx="1">
                  <c:v>Gold</c:v>
                </c:pt>
                <c:pt idx="2">
                  <c:v>Silver</c:v>
                </c:pt>
              </c:strCache>
            </c:strRef>
          </c:cat>
          <c:val>
            <c:numRef>
              <c:f>Pivot_Tables!$H$4:$H$6</c:f>
              <c:numCache>
                <c:formatCode>General</c:formatCode>
                <c:ptCount val="3"/>
                <c:pt idx="1">
                  <c:v>90.29</c:v>
                </c:pt>
                <c:pt idx="2">
                  <c:v>87.52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Feedback Sentiment Distribution by Country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Pivot_Tables!B15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27ae6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Pivot_Tables!$A$16:$A$20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Pivot_Tables!$B$16:$B$20</c:f>
              <c:numCache>
                <c:formatCode>General</c:formatCode>
                <c:ptCount val="5"/>
                <c:pt idx="0">
                  <c:v>33</c:v>
                </c:pt>
                <c:pt idx="1">
                  <c:v>35</c:v>
                </c:pt>
                <c:pt idx="2">
                  <c:v>37</c:v>
                </c:pt>
                <c:pt idx="3">
                  <c:v>29</c:v>
                </c:pt>
                <c:pt idx="4">
                  <c:v>40</c:v>
                </c:pt>
              </c:numCache>
            </c:numRef>
          </c:val>
        </c:ser>
        <c:ser>
          <c:idx val="1"/>
          <c:order val="1"/>
          <c:tx>
            <c:strRef>
              <c:f>Pivot_Tables!C15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rgbClr val="f1c40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Pivot_Tables!$A$16:$A$20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Pivot_Tables!$C$16:$C$20</c:f>
              <c:numCache>
                <c:formatCode>General</c:formatCode>
                <c:ptCount val="5"/>
                <c:pt idx="0">
                  <c:v>43</c:v>
                </c:pt>
                <c:pt idx="1">
                  <c:v>38</c:v>
                </c:pt>
                <c:pt idx="2">
                  <c:v>28</c:v>
                </c:pt>
                <c:pt idx="3">
                  <c:v>22</c:v>
                </c:pt>
                <c:pt idx="4">
                  <c:v>35</c:v>
                </c:pt>
              </c:numCache>
            </c:numRef>
          </c:val>
        </c:ser>
        <c:ser>
          <c:idx val="2"/>
          <c:order val="2"/>
          <c:tx>
            <c:strRef>
              <c:f>Pivot_Tables!D15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Pivot_Tables!$A$16:$A$20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Pivot_Tables!$D$16:$D$20</c:f>
              <c:numCache>
                <c:formatCode>General</c:formatCode>
                <c:ptCount val="5"/>
                <c:pt idx="0">
                  <c:v>36</c:v>
                </c:pt>
                <c:pt idx="1">
                  <c:v>22</c:v>
                </c:pt>
                <c:pt idx="2">
                  <c:v>29</c:v>
                </c:pt>
                <c:pt idx="3">
                  <c:v>32</c:v>
                </c:pt>
                <c:pt idx="4">
                  <c:v>41</c:v>
                </c:pt>
              </c:numCache>
            </c:numRef>
          </c:val>
        </c:ser>
        <c:gapWidth val="150"/>
        <c:overlap val="100"/>
        <c:axId val="68680657"/>
        <c:axId val="33427508"/>
      </c:barChart>
      <c:catAx>
        <c:axId val="686806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427508"/>
        <c:crosses val="autoZero"/>
        <c:auto val="1"/>
        <c:lblAlgn val="ctr"/>
        <c:lblOffset val="100"/>
        <c:noMultiLvlLbl val="0"/>
      </c:catAx>
      <c:valAx>
        <c:axId val="334275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Customer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6806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At-Risk Customers by Country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Pivot_Tables!M15</c:f>
              <c:strCache>
                <c:ptCount val="1"/>
                <c:pt idx="0">
                  <c:v>At-Risk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Pivot_Tables!$K$16:$K$21</c:f>
              <c:strCache>
                <c:ptCount val="6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UK</c:v>
                </c:pt>
                <c:pt idx="4">
                  <c:v>USA</c:v>
                </c:pt>
                <c:pt idx="5">
                  <c:v/>
                </c:pt>
              </c:strCache>
            </c:strRef>
          </c:cat>
          <c:val>
            <c:numRef>
              <c:f>Pivot_Tables!$M$16:$M$21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</c:numCache>
            </c:numRef>
          </c:val>
        </c:ser>
        <c:gapWidth val="150"/>
        <c:overlap val="0"/>
        <c:axId val="19035115"/>
        <c:axId val="19039871"/>
      </c:barChart>
      <c:catAx>
        <c:axId val="1903511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039871"/>
        <c:crosses val="autoZero"/>
        <c:auto val="1"/>
        <c:lblAlgn val="ctr"/>
        <c:lblOffset val="100"/>
        <c:noMultiLvlLbl val="0"/>
      </c:catAx>
      <c:valAx>
        <c:axId val="190398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0351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Satisfaction by Purchase Frequency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Pivot_Tables!C25</c:f>
              <c:strCache>
                <c:ptCount val="1"/>
                <c:pt idx="0">
                  <c:v>Avg Satisfaction</c:v>
                </c:pt>
              </c:strCache>
            </c:strRef>
          </c:tx>
          <c:spPr>
            <a:solidFill>
              <a:srgbClr val="27ae6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Pivot_Tables!$A$26:$A$30</c:f>
              <c:strCache>
                <c:ptCount val="5"/>
                <c:pt idx="0">
                  <c:v>Low(1-5)</c:v>
                </c:pt>
                <c:pt idx="1">
                  <c:v>Moderate(6-10)</c:v>
                </c:pt>
                <c:pt idx="2">
                  <c:v>High(11-15)</c:v>
                </c:pt>
                <c:pt idx="3">
                  <c:v>Very High(16-20)</c:v>
                </c:pt>
                <c:pt idx="4">
                  <c:v/>
                </c:pt>
              </c:strCache>
            </c:strRef>
          </c:cat>
          <c:val>
            <c:numRef>
              <c:f>Pivot_Tables!$C$26:$C$30</c:f>
              <c:numCache>
                <c:formatCode>General</c:formatCode>
                <c:ptCount val="5"/>
                <c:pt idx="0">
                  <c:v>86.3</c:v>
                </c:pt>
                <c:pt idx="1">
                  <c:v>87.69</c:v>
                </c:pt>
                <c:pt idx="2">
                  <c:v>87.46</c:v>
                </c:pt>
                <c:pt idx="3">
                  <c:v>89.35</c:v>
                </c:pt>
              </c:numCache>
            </c:numRef>
          </c:val>
        </c:ser>
        <c:gapWidth val="150"/>
        <c:overlap val="0"/>
        <c:axId val="863500"/>
        <c:axId val="97931575"/>
      </c:barChart>
      <c:catAx>
        <c:axId val="8635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931575"/>
        <c:crosses val="autoZero"/>
        <c:auto val="1"/>
        <c:lblAlgn val="ctr"/>
        <c:lblOffset val="100"/>
        <c:noMultiLvlLbl val="0"/>
      </c:catAx>
      <c:valAx>
        <c:axId val="979315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Satisfaction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35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0</xdr:rowOff>
    </xdr:from>
    <xdr:to>
      <xdr:col>4</xdr:col>
      <xdr:colOff>810360</xdr:colOff>
      <xdr:row>34</xdr:row>
      <xdr:rowOff>4680</xdr:rowOff>
    </xdr:to>
    <xdr:graphicFrame>
      <xdr:nvGraphicFramePr>
        <xdr:cNvPr id="0" name="Chart 1"/>
        <xdr:cNvGraphicFramePr/>
      </xdr:nvGraphicFramePr>
      <xdr:xfrm>
        <a:off x="0" y="324792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15</xdr:row>
      <xdr:rowOff>0</xdr:rowOff>
    </xdr:from>
    <xdr:to>
      <xdr:col>10</xdr:col>
      <xdr:colOff>810360</xdr:colOff>
      <xdr:row>34</xdr:row>
      <xdr:rowOff>4680</xdr:rowOff>
    </xdr:to>
    <xdr:graphicFrame>
      <xdr:nvGraphicFramePr>
        <xdr:cNvPr id="1" name="Chart 2"/>
        <xdr:cNvGraphicFramePr/>
      </xdr:nvGraphicFramePr>
      <xdr:xfrm>
        <a:off x="6343560" y="324792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0</xdr:colOff>
      <xdr:row>15</xdr:row>
      <xdr:rowOff>0</xdr:rowOff>
    </xdr:from>
    <xdr:to>
      <xdr:col>16</xdr:col>
      <xdr:colOff>810720</xdr:colOff>
      <xdr:row>34</xdr:row>
      <xdr:rowOff>4680</xdr:rowOff>
    </xdr:to>
    <xdr:graphicFrame>
      <xdr:nvGraphicFramePr>
        <xdr:cNvPr id="2" name="Chart 3"/>
        <xdr:cNvGraphicFramePr/>
      </xdr:nvGraphicFramePr>
      <xdr:xfrm>
        <a:off x="12687480" y="324792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33</xdr:row>
      <xdr:rowOff>0</xdr:rowOff>
    </xdr:from>
    <xdr:to>
      <xdr:col>4</xdr:col>
      <xdr:colOff>810360</xdr:colOff>
      <xdr:row>52</xdr:row>
      <xdr:rowOff>81000</xdr:rowOff>
    </xdr:to>
    <xdr:graphicFrame>
      <xdr:nvGraphicFramePr>
        <xdr:cNvPr id="3" name="Chart 4"/>
        <xdr:cNvGraphicFramePr/>
      </xdr:nvGraphicFramePr>
      <xdr:xfrm>
        <a:off x="0" y="733428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0</xdr:colOff>
      <xdr:row>33</xdr:row>
      <xdr:rowOff>0</xdr:rowOff>
    </xdr:from>
    <xdr:to>
      <xdr:col>10</xdr:col>
      <xdr:colOff>810360</xdr:colOff>
      <xdr:row>52</xdr:row>
      <xdr:rowOff>81000</xdr:rowOff>
    </xdr:to>
    <xdr:graphicFrame>
      <xdr:nvGraphicFramePr>
        <xdr:cNvPr id="4" name="Chart 5"/>
        <xdr:cNvGraphicFramePr/>
      </xdr:nvGraphicFramePr>
      <xdr:xfrm>
        <a:off x="6343560" y="733428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12</xdr:col>
      <xdr:colOff>0</xdr:colOff>
      <xdr:row>33</xdr:row>
      <xdr:rowOff>0</xdr:rowOff>
    </xdr:from>
    <xdr:to>
      <xdr:col>16</xdr:col>
      <xdr:colOff>810720</xdr:colOff>
      <xdr:row>52</xdr:row>
      <xdr:rowOff>81000</xdr:rowOff>
    </xdr:to>
    <xdr:graphicFrame>
      <xdr:nvGraphicFramePr>
        <xdr:cNvPr id="5" name="Chart 6"/>
        <xdr:cNvGraphicFramePr/>
      </xdr:nvGraphicFramePr>
      <xdr:xfrm>
        <a:off x="12687480" y="733428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awData" displayName="RawData" ref="A1:K501" headerRowCount="1" totalsRowCount="0" totalsRowShown="0">
  <autoFilter ref="A1:K501"/>
  <tableColumns count="11">
    <tableColumn id="1" name="CustomerID"/>
    <tableColumn id="2" name="Age"/>
    <tableColumn id="3" name="Gender"/>
    <tableColumn id="4" name="Country"/>
    <tableColumn id="5" name="Income"/>
    <tableColumn id="6" name="ProductQuality"/>
    <tableColumn id="7" name="ServiceQuality"/>
    <tableColumn id="8" name="PurchaseFrequency"/>
    <tableColumn id="9" name="FeedbackScore"/>
    <tableColumn id="10" name="LoyaltyLevel"/>
    <tableColumn id="11" name="SatisfactionScor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K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7" min="6" style="0" width="16"/>
    <col collapsed="false" customWidth="true" hidden="false" outlineLevel="0" max="8" min="8" style="0" width="18"/>
    <col collapsed="false" customWidth="true" hidden="false" outlineLevel="0" max="10" min="9" style="0" width="14"/>
    <col collapsed="false" customWidth="true" hidden="false" outlineLevel="0" max="11" min="11" style="0" width="16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2" t="n">
        <v>56</v>
      </c>
      <c r="C2" s="2" t="s">
        <v>11</v>
      </c>
      <c r="D2" s="2" t="s">
        <v>12</v>
      </c>
      <c r="E2" s="2" t="n">
        <v>83094</v>
      </c>
      <c r="F2" s="2" t="n">
        <v>5</v>
      </c>
      <c r="G2" s="2" t="n">
        <v>8</v>
      </c>
      <c r="H2" s="2" t="n">
        <v>5</v>
      </c>
      <c r="I2" s="2" t="s">
        <v>13</v>
      </c>
      <c r="J2" s="2" t="s">
        <v>14</v>
      </c>
      <c r="K2" s="2" t="n">
        <v>100</v>
      </c>
    </row>
    <row r="3" customFormat="false" ht="15" hidden="false" customHeight="false" outlineLevel="0" collapsed="false">
      <c r="A3" s="3" t="n">
        <v>2</v>
      </c>
      <c r="B3" s="3" t="n">
        <v>69</v>
      </c>
      <c r="C3" s="3" t="s">
        <v>11</v>
      </c>
      <c r="D3" s="3" t="s">
        <v>12</v>
      </c>
      <c r="E3" s="3" t="n">
        <v>86860</v>
      </c>
      <c r="F3" s="3" t="n">
        <v>10</v>
      </c>
      <c r="G3" s="3" t="n">
        <v>2</v>
      </c>
      <c r="H3" s="3" t="n">
        <v>8</v>
      </c>
      <c r="I3" s="3" t="s">
        <v>15</v>
      </c>
      <c r="J3" s="3" t="s">
        <v>16</v>
      </c>
      <c r="K3" s="3" t="n">
        <v>100</v>
      </c>
    </row>
    <row r="4" customFormat="false" ht="15" hidden="false" customHeight="false" outlineLevel="0" collapsed="false">
      <c r="A4" s="2" t="n">
        <v>3</v>
      </c>
      <c r="B4" s="2" t="n">
        <v>46</v>
      </c>
      <c r="C4" s="2" t="s">
        <v>17</v>
      </c>
      <c r="D4" s="2" t="s">
        <v>18</v>
      </c>
      <c r="E4" s="2" t="n">
        <v>60173</v>
      </c>
      <c r="F4" s="2" t="n">
        <v>8</v>
      </c>
      <c r="G4" s="2" t="n">
        <v>10</v>
      </c>
      <c r="H4" s="2" t="n">
        <v>18</v>
      </c>
      <c r="I4" s="2" t="s">
        <v>15</v>
      </c>
      <c r="J4" s="2" t="s">
        <v>19</v>
      </c>
      <c r="K4" s="2" t="n">
        <v>100</v>
      </c>
    </row>
    <row r="5" customFormat="false" ht="15" hidden="false" customHeight="false" outlineLevel="0" collapsed="false">
      <c r="A5" s="3" t="n">
        <v>4</v>
      </c>
      <c r="B5" s="3" t="n">
        <v>32</v>
      </c>
      <c r="C5" s="3" t="s">
        <v>17</v>
      </c>
      <c r="D5" s="3" t="s">
        <v>12</v>
      </c>
      <c r="E5" s="3" t="n">
        <v>73884</v>
      </c>
      <c r="F5" s="3" t="n">
        <v>7</v>
      </c>
      <c r="G5" s="3" t="n">
        <v>10</v>
      </c>
      <c r="H5" s="3" t="n">
        <v>16</v>
      </c>
      <c r="I5" s="3" t="s">
        <v>13</v>
      </c>
      <c r="J5" s="3" t="s">
        <v>16</v>
      </c>
      <c r="K5" s="3" t="n">
        <v>100</v>
      </c>
    </row>
    <row r="6" customFormat="false" ht="15" hidden="false" customHeight="false" outlineLevel="0" collapsed="false">
      <c r="A6" s="2" t="n">
        <v>5</v>
      </c>
      <c r="B6" s="2" t="n">
        <v>60</v>
      </c>
      <c r="C6" s="2" t="s">
        <v>11</v>
      </c>
      <c r="D6" s="2" t="s">
        <v>12</v>
      </c>
      <c r="E6" s="2" t="n">
        <v>97546</v>
      </c>
      <c r="F6" s="2" t="n">
        <v>6</v>
      </c>
      <c r="G6" s="2" t="n">
        <v>4</v>
      </c>
      <c r="H6" s="2" t="n">
        <v>13</v>
      </c>
      <c r="I6" s="2" t="s">
        <v>13</v>
      </c>
      <c r="J6" s="2" t="s">
        <v>14</v>
      </c>
      <c r="K6" s="2" t="n">
        <v>82</v>
      </c>
    </row>
    <row r="7" customFormat="false" ht="15" hidden="false" customHeight="false" outlineLevel="0" collapsed="false">
      <c r="A7" s="3" t="n">
        <v>6</v>
      </c>
      <c r="B7" s="3" t="n">
        <v>25</v>
      </c>
      <c r="C7" s="3" t="s">
        <v>11</v>
      </c>
      <c r="D7" s="3" t="s">
        <v>20</v>
      </c>
      <c r="E7" s="3" t="n">
        <v>49364</v>
      </c>
      <c r="F7" s="3" t="n">
        <v>5</v>
      </c>
      <c r="G7" s="3" t="n">
        <v>7</v>
      </c>
      <c r="H7" s="3" t="n">
        <v>19</v>
      </c>
      <c r="I7" s="3" t="s">
        <v>21</v>
      </c>
      <c r="J7" s="3" t="s">
        <v>19</v>
      </c>
      <c r="K7" s="3" t="n">
        <v>80.71</v>
      </c>
    </row>
    <row r="8" customFormat="false" ht="15" hidden="false" customHeight="false" outlineLevel="0" collapsed="false">
      <c r="A8" s="2" t="n">
        <v>7</v>
      </c>
      <c r="B8" s="2" t="n">
        <v>38</v>
      </c>
      <c r="C8" s="2" t="s">
        <v>17</v>
      </c>
      <c r="D8" s="2" t="s">
        <v>22</v>
      </c>
      <c r="E8" s="2" t="n">
        <v>39716</v>
      </c>
      <c r="F8" s="2" t="n">
        <v>10</v>
      </c>
      <c r="G8" s="2" t="n">
        <v>6</v>
      </c>
      <c r="H8" s="2" t="n">
        <v>11</v>
      </c>
      <c r="I8" s="2" t="s">
        <v>21</v>
      </c>
      <c r="J8" s="2" t="s">
        <v>19</v>
      </c>
      <c r="K8" s="2" t="n">
        <v>100</v>
      </c>
    </row>
    <row r="9" customFormat="false" ht="15" hidden="false" customHeight="false" outlineLevel="0" collapsed="false">
      <c r="A9" s="3" t="n">
        <v>8</v>
      </c>
      <c r="B9" s="3" t="n">
        <v>56</v>
      </c>
      <c r="C9" s="3" t="s">
        <v>17</v>
      </c>
      <c r="D9" s="3" t="s">
        <v>22</v>
      </c>
      <c r="E9" s="3" t="n">
        <v>45305</v>
      </c>
      <c r="F9" s="3" t="n">
        <v>10</v>
      </c>
      <c r="G9" s="3" t="n">
        <v>10</v>
      </c>
      <c r="H9" s="3" t="n">
        <v>10</v>
      </c>
      <c r="I9" s="3" t="s">
        <v>15</v>
      </c>
      <c r="J9" s="3" t="s">
        <v>16</v>
      </c>
      <c r="K9" s="3" t="n">
        <v>100</v>
      </c>
    </row>
    <row r="10" customFormat="false" ht="15" hidden="false" customHeight="false" outlineLevel="0" collapsed="false">
      <c r="A10" s="2" t="n">
        <v>9</v>
      </c>
      <c r="B10" s="2" t="n">
        <v>36</v>
      </c>
      <c r="C10" s="2" t="s">
        <v>11</v>
      </c>
      <c r="D10" s="2" t="s">
        <v>20</v>
      </c>
      <c r="E10" s="2" t="n">
        <v>98001</v>
      </c>
      <c r="F10" s="2" t="n">
        <v>10</v>
      </c>
      <c r="G10" s="2" t="n">
        <v>2</v>
      </c>
      <c r="H10" s="2" t="n">
        <v>12</v>
      </c>
      <c r="I10" s="2" t="s">
        <v>21</v>
      </c>
      <c r="J10" s="2" t="s">
        <v>14</v>
      </c>
      <c r="K10" s="2" t="n">
        <v>100</v>
      </c>
    </row>
    <row r="11" customFormat="false" ht="15" hidden="false" customHeight="false" outlineLevel="0" collapsed="false">
      <c r="A11" s="3" t="n">
        <v>10</v>
      </c>
      <c r="B11" s="3" t="n">
        <v>40</v>
      </c>
      <c r="C11" s="3" t="s">
        <v>17</v>
      </c>
      <c r="D11" s="3" t="s">
        <v>12</v>
      </c>
      <c r="E11" s="3" t="n">
        <v>85307</v>
      </c>
      <c r="F11" s="3" t="n">
        <v>6</v>
      </c>
      <c r="G11" s="3" t="n">
        <v>4</v>
      </c>
      <c r="H11" s="3" t="n">
        <v>20</v>
      </c>
      <c r="I11" s="3" t="s">
        <v>21</v>
      </c>
      <c r="J11" s="3" t="s">
        <v>16</v>
      </c>
      <c r="K11" s="3" t="n">
        <v>86.48</v>
      </c>
    </row>
    <row r="12" customFormat="false" ht="15" hidden="false" customHeight="false" outlineLevel="0" collapsed="false">
      <c r="A12" s="2" t="n">
        <v>11</v>
      </c>
      <c r="B12" s="2" t="n">
        <v>28</v>
      </c>
      <c r="C12" s="2" t="s">
        <v>17</v>
      </c>
      <c r="D12" s="2" t="s">
        <v>23</v>
      </c>
      <c r="E12" s="2" t="n">
        <v>46732</v>
      </c>
      <c r="F12" s="2" t="n">
        <v>9</v>
      </c>
      <c r="G12" s="2" t="n">
        <v>3</v>
      </c>
      <c r="H12" s="2" t="n">
        <v>3</v>
      </c>
      <c r="I12" s="2" t="s">
        <v>21</v>
      </c>
      <c r="J12" s="2" t="s">
        <v>16</v>
      </c>
      <c r="K12" s="2" t="n">
        <v>94.6</v>
      </c>
    </row>
    <row r="13" customFormat="false" ht="15" hidden="false" customHeight="false" outlineLevel="0" collapsed="false">
      <c r="A13" s="3" t="n">
        <v>12</v>
      </c>
      <c r="B13" s="3" t="n">
        <v>28</v>
      </c>
      <c r="C13" s="3" t="s">
        <v>17</v>
      </c>
      <c r="D13" s="3" t="s">
        <v>20</v>
      </c>
      <c r="E13" s="3" t="n">
        <v>38742</v>
      </c>
      <c r="F13" s="3" t="n">
        <v>8</v>
      </c>
      <c r="G13" s="3" t="n">
        <v>6</v>
      </c>
      <c r="H13" s="3" t="n">
        <v>13</v>
      </c>
      <c r="I13" s="3" t="s">
        <v>15</v>
      </c>
      <c r="J13" s="3" t="s">
        <v>19</v>
      </c>
      <c r="K13" s="3" t="n">
        <v>81.85</v>
      </c>
    </row>
    <row r="14" customFormat="false" ht="15" hidden="false" customHeight="false" outlineLevel="0" collapsed="false">
      <c r="A14" s="2" t="n">
        <v>13</v>
      </c>
      <c r="B14" s="2" t="n">
        <v>41</v>
      </c>
      <c r="C14" s="2" t="s">
        <v>11</v>
      </c>
      <c r="D14" s="2" t="s">
        <v>22</v>
      </c>
      <c r="E14" s="2" t="n">
        <v>30028</v>
      </c>
      <c r="F14" s="2" t="n">
        <v>8</v>
      </c>
      <c r="G14" s="2" t="n">
        <v>6</v>
      </c>
      <c r="H14" s="2" t="n">
        <v>20</v>
      </c>
      <c r="I14" s="2" t="s">
        <v>15</v>
      </c>
      <c r="J14" s="2" t="s">
        <v>14</v>
      </c>
      <c r="K14" s="2" t="n">
        <v>95.99</v>
      </c>
    </row>
    <row r="15" customFormat="false" ht="15" hidden="false" customHeight="false" outlineLevel="0" collapsed="false">
      <c r="A15" s="3" t="n">
        <v>14</v>
      </c>
      <c r="B15" s="3" t="n">
        <v>53</v>
      </c>
      <c r="C15" s="3" t="s">
        <v>17</v>
      </c>
      <c r="D15" s="3" t="s">
        <v>18</v>
      </c>
      <c r="E15" s="3" t="n">
        <v>58353</v>
      </c>
      <c r="F15" s="3" t="n">
        <v>6</v>
      </c>
      <c r="G15" s="3" t="n">
        <v>8</v>
      </c>
      <c r="H15" s="3" t="n">
        <v>17</v>
      </c>
      <c r="I15" s="3" t="s">
        <v>15</v>
      </c>
      <c r="J15" s="3" t="s">
        <v>14</v>
      </c>
      <c r="K15" s="3" t="n">
        <v>100</v>
      </c>
    </row>
    <row r="16" customFormat="false" ht="15" hidden="false" customHeight="false" outlineLevel="0" collapsed="false">
      <c r="A16" s="2" t="n">
        <v>15</v>
      </c>
      <c r="B16" s="2" t="n">
        <v>57</v>
      </c>
      <c r="C16" s="2" t="s">
        <v>17</v>
      </c>
      <c r="D16" s="2" t="s">
        <v>22</v>
      </c>
      <c r="E16" s="2" t="n">
        <v>75657</v>
      </c>
      <c r="F16" s="2" t="n">
        <v>1</v>
      </c>
      <c r="G16" s="2" t="n">
        <v>8</v>
      </c>
      <c r="H16" s="2" t="n">
        <v>15</v>
      </c>
      <c r="I16" s="2" t="s">
        <v>15</v>
      </c>
      <c r="J16" s="2" t="s">
        <v>19</v>
      </c>
      <c r="K16" s="2" t="n">
        <v>100</v>
      </c>
    </row>
    <row r="17" customFormat="false" ht="15" hidden="false" customHeight="false" outlineLevel="0" collapsed="false">
      <c r="A17" s="3" t="n">
        <v>16</v>
      </c>
      <c r="B17" s="3" t="n">
        <v>41</v>
      </c>
      <c r="C17" s="3" t="s">
        <v>17</v>
      </c>
      <c r="D17" s="3" t="s">
        <v>23</v>
      </c>
      <c r="E17" s="3" t="n">
        <v>59164</v>
      </c>
      <c r="F17" s="3" t="n">
        <v>1</v>
      </c>
      <c r="G17" s="3" t="n">
        <v>5</v>
      </c>
      <c r="H17" s="3" t="n">
        <v>10</v>
      </c>
      <c r="I17" s="3" t="s">
        <v>15</v>
      </c>
      <c r="J17" s="3" t="s">
        <v>19</v>
      </c>
      <c r="K17" s="3" t="n">
        <v>52.34</v>
      </c>
    </row>
    <row r="18" customFormat="false" ht="15" hidden="false" customHeight="false" outlineLevel="0" collapsed="false">
      <c r="A18" s="2" t="n">
        <v>17</v>
      </c>
      <c r="B18" s="2" t="n">
        <v>20</v>
      </c>
      <c r="C18" s="2" t="s">
        <v>17</v>
      </c>
      <c r="D18" s="2" t="s">
        <v>22</v>
      </c>
      <c r="E18" s="2" t="n">
        <v>73887</v>
      </c>
      <c r="F18" s="2" t="n">
        <v>5</v>
      </c>
      <c r="G18" s="2" t="n">
        <v>4</v>
      </c>
      <c r="H18" s="2" t="n">
        <v>7</v>
      </c>
      <c r="I18" s="2" t="s">
        <v>15</v>
      </c>
      <c r="J18" s="2" t="s">
        <v>19</v>
      </c>
      <c r="K18" s="2" t="n">
        <v>73.48</v>
      </c>
    </row>
    <row r="19" customFormat="false" ht="15" hidden="false" customHeight="false" outlineLevel="0" collapsed="false">
      <c r="A19" s="3" t="n">
        <v>18</v>
      </c>
      <c r="B19" s="3" t="n">
        <v>39</v>
      </c>
      <c r="C19" s="3" t="s">
        <v>17</v>
      </c>
      <c r="D19" s="3" t="s">
        <v>20</v>
      </c>
      <c r="E19" s="3" t="n">
        <v>63522</v>
      </c>
      <c r="F19" s="3" t="n">
        <v>8</v>
      </c>
      <c r="G19" s="3" t="n">
        <v>3</v>
      </c>
      <c r="H19" s="3" t="n">
        <v>8</v>
      </c>
      <c r="I19" s="3" t="s">
        <v>21</v>
      </c>
      <c r="J19" s="3" t="s">
        <v>16</v>
      </c>
      <c r="K19" s="3" t="n">
        <v>86.31</v>
      </c>
    </row>
    <row r="20" customFormat="false" ht="15" hidden="false" customHeight="false" outlineLevel="0" collapsed="false">
      <c r="A20" s="2" t="n">
        <v>19</v>
      </c>
      <c r="B20" s="2" t="n">
        <v>19</v>
      </c>
      <c r="C20" s="2" t="s">
        <v>11</v>
      </c>
      <c r="D20" s="2" t="s">
        <v>18</v>
      </c>
      <c r="E20" s="2" t="n">
        <v>88593</v>
      </c>
      <c r="F20" s="2" t="n">
        <v>5</v>
      </c>
      <c r="G20" s="2" t="n">
        <v>9</v>
      </c>
      <c r="H20" s="2" t="n">
        <v>8</v>
      </c>
      <c r="I20" s="2" t="s">
        <v>21</v>
      </c>
      <c r="J20" s="2" t="s">
        <v>14</v>
      </c>
      <c r="K20" s="2" t="n">
        <v>100</v>
      </c>
    </row>
    <row r="21" customFormat="false" ht="15" hidden="false" customHeight="false" outlineLevel="0" collapsed="false">
      <c r="A21" s="3" t="n">
        <v>20</v>
      </c>
      <c r="B21" s="3" t="n">
        <v>41</v>
      </c>
      <c r="C21" s="3" t="s">
        <v>17</v>
      </c>
      <c r="D21" s="3" t="s">
        <v>22</v>
      </c>
      <c r="E21" s="3" t="n">
        <v>37901</v>
      </c>
      <c r="F21" s="3" t="n">
        <v>7</v>
      </c>
      <c r="G21" s="3" t="n">
        <v>5</v>
      </c>
      <c r="H21" s="3" t="n">
        <v>17</v>
      </c>
      <c r="I21" s="3" t="s">
        <v>13</v>
      </c>
      <c r="J21" s="3" t="s">
        <v>16</v>
      </c>
      <c r="K21" s="3" t="n">
        <v>85.16</v>
      </c>
    </row>
    <row r="22" customFormat="false" ht="15" hidden="false" customHeight="false" outlineLevel="0" collapsed="false">
      <c r="A22" s="2" t="n">
        <v>21</v>
      </c>
      <c r="B22" s="2" t="n">
        <v>61</v>
      </c>
      <c r="C22" s="2" t="s">
        <v>17</v>
      </c>
      <c r="D22" s="2" t="s">
        <v>20</v>
      </c>
      <c r="E22" s="2" t="n">
        <v>41595</v>
      </c>
      <c r="F22" s="2" t="n">
        <v>2</v>
      </c>
      <c r="G22" s="2" t="n">
        <v>4</v>
      </c>
      <c r="H22" s="2" t="n">
        <v>11</v>
      </c>
      <c r="I22" s="2" t="s">
        <v>21</v>
      </c>
      <c r="J22" s="2" t="s">
        <v>16</v>
      </c>
      <c r="K22" s="2" t="n">
        <v>69.85</v>
      </c>
    </row>
    <row r="23" customFormat="false" ht="15" hidden="false" customHeight="false" outlineLevel="0" collapsed="false">
      <c r="A23" s="3" t="n">
        <v>22</v>
      </c>
      <c r="B23" s="3" t="n">
        <v>47</v>
      </c>
      <c r="C23" s="3" t="s">
        <v>17</v>
      </c>
      <c r="D23" s="3" t="s">
        <v>20</v>
      </c>
      <c r="E23" s="3" t="n">
        <v>95043</v>
      </c>
      <c r="F23" s="3" t="n">
        <v>7</v>
      </c>
      <c r="G23" s="3" t="n">
        <v>2</v>
      </c>
      <c r="H23" s="3" t="n">
        <v>5</v>
      </c>
      <c r="I23" s="3" t="s">
        <v>21</v>
      </c>
      <c r="J23" s="3" t="s">
        <v>14</v>
      </c>
      <c r="K23" s="3" t="n">
        <v>92.23</v>
      </c>
    </row>
    <row r="24" customFormat="false" ht="15" hidden="false" customHeight="false" outlineLevel="0" collapsed="false">
      <c r="A24" s="2" t="n">
        <v>23</v>
      </c>
      <c r="B24" s="2" t="n">
        <v>55</v>
      </c>
      <c r="C24" s="2" t="s">
        <v>17</v>
      </c>
      <c r="D24" s="2" t="s">
        <v>20</v>
      </c>
      <c r="E24" s="2" t="n">
        <v>42216</v>
      </c>
      <c r="F24" s="2" t="n">
        <v>5</v>
      </c>
      <c r="G24" s="2" t="n">
        <v>6</v>
      </c>
      <c r="H24" s="2" t="n">
        <v>2</v>
      </c>
      <c r="I24" s="2" t="s">
        <v>15</v>
      </c>
      <c r="J24" s="2" t="s">
        <v>16</v>
      </c>
      <c r="K24" s="2" t="n">
        <v>90.59</v>
      </c>
    </row>
    <row r="25" customFormat="false" ht="15" hidden="false" customHeight="false" outlineLevel="0" collapsed="false">
      <c r="A25" s="3" t="n">
        <v>24</v>
      </c>
      <c r="B25" s="3" t="n">
        <v>19</v>
      </c>
      <c r="C25" s="3" t="s">
        <v>11</v>
      </c>
      <c r="D25" s="3" t="s">
        <v>18</v>
      </c>
      <c r="E25" s="3" t="n">
        <v>59536</v>
      </c>
      <c r="F25" s="3" t="n">
        <v>10</v>
      </c>
      <c r="G25" s="3" t="n">
        <v>5</v>
      </c>
      <c r="H25" s="3" t="n">
        <v>7</v>
      </c>
      <c r="I25" s="3" t="s">
        <v>21</v>
      </c>
      <c r="J25" s="3" t="s">
        <v>19</v>
      </c>
      <c r="K25" s="3" t="n">
        <v>99.65</v>
      </c>
    </row>
    <row r="26" customFormat="false" ht="15" hidden="false" customHeight="false" outlineLevel="0" collapsed="false">
      <c r="A26" s="2" t="n">
        <v>25</v>
      </c>
      <c r="B26" s="2" t="n">
        <v>38</v>
      </c>
      <c r="C26" s="2" t="s">
        <v>11</v>
      </c>
      <c r="D26" s="2" t="s">
        <v>20</v>
      </c>
      <c r="E26" s="2" t="n">
        <v>48184</v>
      </c>
      <c r="F26" s="2" t="n">
        <v>3</v>
      </c>
      <c r="G26" s="2" t="n">
        <v>2</v>
      </c>
      <c r="H26" s="2" t="n">
        <v>2</v>
      </c>
      <c r="I26" s="2" t="s">
        <v>13</v>
      </c>
      <c r="J26" s="2" t="s">
        <v>16</v>
      </c>
      <c r="K26" s="2" t="n">
        <v>49.73</v>
      </c>
    </row>
    <row r="27" customFormat="false" ht="15" hidden="false" customHeight="false" outlineLevel="0" collapsed="false">
      <c r="A27" s="3" t="n">
        <v>26</v>
      </c>
      <c r="B27" s="3" t="n">
        <v>50</v>
      </c>
      <c r="C27" s="3" t="s">
        <v>11</v>
      </c>
      <c r="D27" s="3" t="s">
        <v>18</v>
      </c>
      <c r="E27" s="3" t="n">
        <v>116529</v>
      </c>
      <c r="F27" s="3" t="n">
        <v>1</v>
      </c>
      <c r="G27" s="3" t="n">
        <v>5</v>
      </c>
      <c r="H27" s="3" t="n">
        <v>18</v>
      </c>
      <c r="I27" s="3" t="s">
        <v>15</v>
      </c>
      <c r="J27" s="3" t="s">
        <v>19</v>
      </c>
      <c r="K27" s="3" t="n">
        <v>70.82</v>
      </c>
    </row>
    <row r="28" customFormat="false" ht="15" hidden="false" customHeight="false" outlineLevel="0" collapsed="false">
      <c r="A28" s="2" t="n">
        <v>27</v>
      </c>
      <c r="B28" s="2" t="n">
        <v>29</v>
      </c>
      <c r="C28" s="2" t="s">
        <v>17</v>
      </c>
      <c r="D28" s="2" t="s">
        <v>23</v>
      </c>
      <c r="E28" s="2" t="n">
        <v>92619</v>
      </c>
      <c r="F28" s="2" t="n">
        <v>9</v>
      </c>
      <c r="G28" s="2" t="n">
        <v>8</v>
      </c>
      <c r="H28" s="2" t="n">
        <v>15</v>
      </c>
      <c r="I28" s="2" t="s">
        <v>13</v>
      </c>
      <c r="J28" s="2" t="s">
        <v>16</v>
      </c>
      <c r="K28" s="2" t="n">
        <v>100</v>
      </c>
    </row>
    <row r="29" customFormat="false" ht="15" hidden="false" customHeight="false" outlineLevel="0" collapsed="false">
      <c r="A29" s="3" t="n">
        <v>28</v>
      </c>
      <c r="B29" s="3" t="n">
        <v>39</v>
      </c>
      <c r="C29" s="3" t="s">
        <v>17</v>
      </c>
      <c r="D29" s="3" t="s">
        <v>23</v>
      </c>
      <c r="E29" s="3" t="n">
        <v>102225</v>
      </c>
      <c r="F29" s="3" t="n">
        <v>10</v>
      </c>
      <c r="G29" s="3" t="n">
        <v>4</v>
      </c>
      <c r="H29" s="3" t="n">
        <v>14</v>
      </c>
      <c r="I29" s="3" t="s">
        <v>13</v>
      </c>
      <c r="J29" s="3" t="s">
        <v>16</v>
      </c>
      <c r="K29" s="3" t="n">
        <v>100</v>
      </c>
    </row>
    <row r="30" customFormat="false" ht="15" hidden="false" customHeight="false" outlineLevel="0" collapsed="false">
      <c r="A30" s="2" t="n">
        <v>29</v>
      </c>
      <c r="B30" s="2" t="n">
        <v>61</v>
      </c>
      <c r="C30" s="2" t="s">
        <v>11</v>
      </c>
      <c r="D30" s="2" t="s">
        <v>23</v>
      </c>
      <c r="E30" s="2" t="n">
        <v>108541</v>
      </c>
      <c r="F30" s="2" t="n">
        <v>7</v>
      </c>
      <c r="G30" s="2" t="n">
        <v>1</v>
      </c>
      <c r="H30" s="2" t="n">
        <v>1</v>
      </c>
      <c r="I30" s="2" t="s">
        <v>15</v>
      </c>
      <c r="J30" s="2" t="s">
        <v>19</v>
      </c>
      <c r="K30" s="2" t="n">
        <v>75.74</v>
      </c>
    </row>
    <row r="31" customFormat="false" ht="15" hidden="false" customHeight="false" outlineLevel="0" collapsed="false">
      <c r="A31" s="3" t="n">
        <v>30</v>
      </c>
      <c r="B31" s="3" t="n">
        <v>42</v>
      </c>
      <c r="C31" s="3" t="s">
        <v>11</v>
      </c>
      <c r="D31" s="3" t="s">
        <v>20</v>
      </c>
      <c r="E31" s="3" t="n">
        <v>48768</v>
      </c>
      <c r="F31" s="3" t="n">
        <v>8</v>
      </c>
      <c r="G31" s="3" t="n">
        <v>8</v>
      </c>
      <c r="H31" s="3" t="n">
        <v>16</v>
      </c>
      <c r="I31" s="3" t="s">
        <v>21</v>
      </c>
      <c r="J31" s="3" t="s">
        <v>16</v>
      </c>
      <c r="K31" s="3" t="n">
        <v>100</v>
      </c>
    </row>
    <row r="32" customFormat="false" ht="15" hidden="false" customHeight="false" outlineLevel="0" collapsed="false">
      <c r="A32" s="2" t="n">
        <v>31</v>
      </c>
      <c r="B32" s="2" t="n">
        <v>66</v>
      </c>
      <c r="C32" s="2" t="s">
        <v>11</v>
      </c>
      <c r="D32" s="2" t="s">
        <v>18</v>
      </c>
      <c r="E32" s="2" t="n">
        <v>95975</v>
      </c>
      <c r="F32" s="2" t="n">
        <v>10</v>
      </c>
      <c r="G32" s="2" t="n">
        <v>7</v>
      </c>
      <c r="H32" s="2" t="n">
        <v>7</v>
      </c>
      <c r="I32" s="2" t="s">
        <v>15</v>
      </c>
      <c r="J32" s="2" t="s">
        <v>14</v>
      </c>
      <c r="K32" s="2" t="n">
        <v>100</v>
      </c>
    </row>
    <row r="33" customFormat="false" ht="15" hidden="false" customHeight="false" outlineLevel="0" collapsed="false">
      <c r="A33" s="3" t="n">
        <v>32</v>
      </c>
      <c r="B33" s="3" t="n">
        <v>44</v>
      </c>
      <c r="C33" s="3" t="s">
        <v>11</v>
      </c>
      <c r="D33" s="3" t="s">
        <v>23</v>
      </c>
      <c r="E33" s="3" t="n">
        <v>41604</v>
      </c>
      <c r="F33" s="3" t="n">
        <v>10</v>
      </c>
      <c r="G33" s="3" t="n">
        <v>9</v>
      </c>
      <c r="H33" s="3" t="n">
        <v>11</v>
      </c>
      <c r="I33" s="3" t="s">
        <v>15</v>
      </c>
      <c r="J33" s="3" t="s">
        <v>14</v>
      </c>
      <c r="K33" s="3" t="n">
        <v>100</v>
      </c>
    </row>
    <row r="34" customFormat="false" ht="15" hidden="false" customHeight="false" outlineLevel="0" collapsed="false">
      <c r="A34" s="2" t="n">
        <v>33</v>
      </c>
      <c r="B34" s="2" t="n">
        <v>59</v>
      </c>
      <c r="C34" s="2" t="s">
        <v>11</v>
      </c>
      <c r="D34" s="2" t="s">
        <v>12</v>
      </c>
      <c r="E34" s="2" t="n">
        <v>100739</v>
      </c>
      <c r="F34" s="2" t="n">
        <v>4</v>
      </c>
      <c r="G34" s="2" t="n">
        <v>8</v>
      </c>
      <c r="H34" s="2" t="n">
        <v>18</v>
      </c>
      <c r="I34" s="2" t="s">
        <v>15</v>
      </c>
      <c r="J34" s="2" t="s">
        <v>14</v>
      </c>
      <c r="K34" s="2" t="n">
        <v>100</v>
      </c>
    </row>
    <row r="35" customFormat="false" ht="15" hidden="false" customHeight="false" outlineLevel="0" collapsed="false">
      <c r="A35" s="3" t="n">
        <v>34</v>
      </c>
      <c r="B35" s="3" t="n">
        <v>45</v>
      </c>
      <c r="C35" s="3" t="s">
        <v>11</v>
      </c>
      <c r="D35" s="3" t="s">
        <v>23</v>
      </c>
      <c r="E35" s="3" t="n">
        <v>119278</v>
      </c>
      <c r="F35" s="3" t="n">
        <v>3</v>
      </c>
      <c r="G35" s="3" t="n">
        <v>7</v>
      </c>
      <c r="H35" s="3" t="n">
        <v>10</v>
      </c>
      <c r="I35" s="3" t="s">
        <v>21</v>
      </c>
      <c r="J35" s="3" t="s">
        <v>16</v>
      </c>
      <c r="K35" s="3" t="n">
        <v>100</v>
      </c>
    </row>
    <row r="36" customFormat="false" ht="15" hidden="false" customHeight="false" outlineLevel="0" collapsed="false">
      <c r="A36" s="2" t="n">
        <v>35</v>
      </c>
      <c r="B36" s="2" t="n">
        <v>33</v>
      </c>
      <c r="C36" s="2" t="s">
        <v>17</v>
      </c>
      <c r="D36" s="2" t="s">
        <v>20</v>
      </c>
      <c r="E36" s="2" t="n">
        <v>112220</v>
      </c>
      <c r="F36" s="2" t="n">
        <v>5</v>
      </c>
      <c r="G36" s="2" t="n">
        <v>7</v>
      </c>
      <c r="H36" s="2" t="n">
        <v>17</v>
      </c>
      <c r="I36" s="2" t="s">
        <v>13</v>
      </c>
      <c r="J36" s="2" t="s">
        <v>19</v>
      </c>
      <c r="K36" s="2" t="n">
        <v>100</v>
      </c>
    </row>
    <row r="37" customFormat="false" ht="15" hidden="false" customHeight="false" outlineLevel="0" collapsed="false">
      <c r="A37" s="3" t="n">
        <v>36</v>
      </c>
      <c r="B37" s="3" t="n">
        <v>32</v>
      </c>
      <c r="C37" s="3" t="s">
        <v>17</v>
      </c>
      <c r="D37" s="3" t="s">
        <v>12</v>
      </c>
      <c r="E37" s="3" t="n">
        <v>113282</v>
      </c>
      <c r="F37" s="3" t="n">
        <v>1</v>
      </c>
      <c r="G37" s="3" t="n">
        <v>10</v>
      </c>
      <c r="H37" s="3" t="n">
        <v>4</v>
      </c>
      <c r="I37" s="3" t="s">
        <v>21</v>
      </c>
      <c r="J37" s="3" t="s">
        <v>14</v>
      </c>
      <c r="K37" s="3" t="n">
        <v>100</v>
      </c>
    </row>
    <row r="38" customFormat="false" ht="15" hidden="false" customHeight="false" outlineLevel="0" collapsed="false">
      <c r="A38" s="2" t="n">
        <v>37</v>
      </c>
      <c r="B38" s="2" t="n">
        <v>64</v>
      </c>
      <c r="C38" s="2" t="s">
        <v>11</v>
      </c>
      <c r="D38" s="2" t="s">
        <v>22</v>
      </c>
      <c r="E38" s="2" t="n">
        <v>65286</v>
      </c>
      <c r="F38" s="2" t="n">
        <v>6</v>
      </c>
      <c r="G38" s="2" t="n">
        <v>1</v>
      </c>
      <c r="H38" s="2" t="n">
        <v>7</v>
      </c>
      <c r="I38" s="2" t="s">
        <v>13</v>
      </c>
      <c r="J38" s="2" t="s">
        <v>19</v>
      </c>
      <c r="K38" s="2" t="n">
        <v>88.16</v>
      </c>
    </row>
    <row r="39" customFormat="false" ht="15" hidden="false" customHeight="false" outlineLevel="0" collapsed="false">
      <c r="A39" s="3" t="n">
        <v>38</v>
      </c>
      <c r="B39" s="3" t="n">
        <v>68</v>
      </c>
      <c r="C39" s="3" t="s">
        <v>17</v>
      </c>
      <c r="D39" s="3" t="s">
        <v>12</v>
      </c>
      <c r="E39" s="3" t="n">
        <v>40530</v>
      </c>
      <c r="F39" s="3" t="n">
        <v>1</v>
      </c>
      <c r="G39" s="3" t="n">
        <v>6</v>
      </c>
      <c r="H39" s="3" t="n">
        <v>17</v>
      </c>
      <c r="I39" s="3" t="s">
        <v>21</v>
      </c>
      <c r="J39" s="3" t="s">
        <v>14</v>
      </c>
      <c r="K39" s="3" t="n">
        <v>63.97</v>
      </c>
    </row>
    <row r="40" customFormat="false" ht="15" hidden="false" customHeight="false" outlineLevel="0" collapsed="false">
      <c r="A40" s="2" t="n">
        <v>39</v>
      </c>
      <c r="B40" s="2" t="n">
        <v>61</v>
      </c>
      <c r="C40" s="2" t="s">
        <v>17</v>
      </c>
      <c r="D40" s="2" t="s">
        <v>22</v>
      </c>
      <c r="E40" s="2" t="n">
        <v>34580</v>
      </c>
      <c r="F40" s="2" t="n">
        <v>8</v>
      </c>
      <c r="G40" s="2" t="n">
        <v>9</v>
      </c>
      <c r="H40" s="2" t="n">
        <v>9</v>
      </c>
      <c r="I40" s="2" t="s">
        <v>21</v>
      </c>
      <c r="J40" s="2" t="s">
        <v>14</v>
      </c>
      <c r="K40" s="2" t="n">
        <v>100</v>
      </c>
    </row>
    <row r="41" customFormat="false" ht="15" hidden="false" customHeight="false" outlineLevel="0" collapsed="false">
      <c r="A41" s="3" t="n">
        <v>40</v>
      </c>
      <c r="B41" s="3" t="n">
        <v>69</v>
      </c>
      <c r="C41" s="3" t="s">
        <v>11</v>
      </c>
      <c r="D41" s="3" t="s">
        <v>12</v>
      </c>
      <c r="E41" s="3" t="n">
        <v>75929</v>
      </c>
      <c r="F41" s="3" t="n">
        <v>5</v>
      </c>
      <c r="G41" s="3" t="n">
        <v>7</v>
      </c>
      <c r="H41" s="3" t="n">
        <v>3</v>
      </c>
      <c r="I41" s="3" t="s">
        <v>13</v>
      </c>
      <c r="J41" s="3" t="s">
        <v>14</v>
      </c>
      <c r="K41" s="3" t="n">
        <v>91.94</v>
      </c>
    </row>
    <row r="42" customFormat="false" ht="15" hidden="false" customHeight="false" outlineLevel="0" collapsed="false">
      <c r="A42" s="2" t="n">
        <v>41</v>
      </c>
      <c r="B42" s="2" t="n">
        <v>20</v>
      </c>
      <c r="C42" s="2" t="s">
        <v>11</v>
      </c>
      <c r="D42" s="2" t="s">
        <v>18</v>
      </c>
      <c r="E42" s="2" t="n">
        <v>112595</v>
      </c>
      <c r="F42" s="2" t="n">
        <v>10</v>
      </c>
      <c r="G42" s="2" t="n">
        <v>5</v>
      </c>
      <c r="H42" s="2" t="n">
        <v>13</v>
      </c>
      <c r="I42" s="2" t="s">
        <v>15</v>
      </c>
      <c r="J42" s="2" t="s">
        <v>16</v>
      </c>
      <c r="K42" s="2" t="n">
        <v>100</v>
      </c>
    </row>
    <row r="43" customFormat="false" ht="15" hidden="false" customHeight="false" outlineLevel="0" collapsed="false">
      <c r="A43" s="3" t="n">
        <v>42</v>
      </c>
      <c r="B43" s="3" t="n">
        <v>54</v>
      </c>
      <c r="C43" s="3" t="s">
        <v>17</v>
      </c>
      <c r="D43" s="3" t="s">
        <v>12</v>
      </c>
      <c r="E43" s="3" t="n">
        <v>37897</v>
      </c>
      <c r="F43" s="3" t="n">
        <v>7</v>
      </c>
      <c r="G43" s="3" t="n">
        <v>1</v>
      </c>
      <c r="H43" s="3" t="n">
        <v>20</v>
      </c>
      <c r="I43" s="3" t="s">
        <v>13</v>
      </c>
      <c r="J43" s="3" t="s">
        <v>14</v>
      </c>
      <c r="K43" s="3" t="n">
        <v>72.89</v>
      </c>
    </row>
    <row r="44" customFormat="false" ht="15" hidden="false" customHeight="false" outlineLevel="0" collapsed="false">
      <c r="A44" s="2" t="n">
        <v>43</v>
      </c>
      <c r="B44" s="2" t="n">
        <v>68</v>
      </c>
      <c r="C44" s="2" t="s">
        <v>17</v>
      </c>
      <c r="D44" s="2" t="s">
        <v>23</v>
      </c>
      <c r="E44" s="2" t="n">
        <v>87990</v>
      </c>
      <c r="F44" s="2" t="n">
        <v>4</v>
      </c>
      <c r="G44" s="2" t="n">
        <v>10</v>
      </c>
      <c r="H44" s="2" t="n">
        <v>20</v>
      </c>
      <c r="I44" s="2" t="s">
        <v>21</v>
      </c>
      <c r="J44" s="2" t="s">
        <v>14</v>
      </c>
      <c r="K44" s="2" t="n">
        <v>100</v>
      </c>
    </row>
    <row r="45" customFormat="false" ht="15" hidden="false" customHeight="false" outlineLevel="0" collapsed="false">
      <c r="A45" s="3" t="n">
        <v>44</v>
      </c>
      <c r="B45" s="3" t="n">
        <v>24</v>
      </c>
      <c r="C45" s="3" t="s">
        <v>17</v>
      </c>
      <c r="D45" s="3" t="s">
        <v>22</v>
      </c>
      <c r="E45" s="3" t="n">
        <v>91060</v>
      </c>
      <c r="F45" s="3" t="n">
        <v>5</v>
      </c>
      <c r="G45" s="3" t="n">
        <v>6</v>
      </c>
      <c r="H45" s="3" t="n">
        <v>5</v>
      </c>
      <c r="I45" s="3" t="s">
        <v>13</v>
      </c>
      <c r="J45" s="3" t="s">
        <v>19</v>
      </c>
      <c r="K45" s="3" t="n">
        <v>96.58</v>
      </c>
    </row>
    <row r="46" customFormat="false" ht="15" hidden="false" customHeight="false" outlineLevel="0" collapsed="false">
      <c r="A46" s="2" t="n">
        <v>45</v>
      </c>
      <c r="B46" s="2" t="n">
        <v>38</v>
      </c>
      <c r="C46" s="2" t="s">
        <v>11</v>
      </c>
      <c r="D46" s="2" t="s">
        <v>22</v>
      </c>
      <c r="E46" s="2" t="n">
        <v>110598</v>
      </c>
      <c r="F46" s="2" t="n">
        <v>2</v>
      </c>
      <c r="G46" s="2" t="n">
        <v>4</v>
      </c>
      <c r="H46" s="2" t="n">
        <v>2</v>
      </c>
      <c r="I46" s="2" t="s">
        <v>15</v>
      </c>
      <c r="J46" s="2" t="s">
        <v>19</v>
      </c>
      <c r="K46" s="2" t="n">
        <v>63.49</v>
      </c>
    </row>
    <row r="47" customFormat="false" ht="15" hidden="false" customHeight="false" outlineLevel="0" collapsed="false">
      <c r="A47" s="3" t="n">
        <v>46</v>
      </c>
      <c r="B47" s="3" t="n">
        <v>26</v>
      </c>
      <c r="C47" s="3" t="s">
        <v>17</v>
      </c>
      <c r="D47" s="3" t="s">
        <v>23</v>
      </c>
      <c r="E47" s="3" t="n">
        <v>40211</v>
      </c>
      <c r="F47" s="3" t="n">
        <v>7</v>
      </c>
      <c r="G47" s="3" t="n">
        <v>3</v>
      </c>
      <c r="H47" s="3" t="n">
        <v>18</v>
      </c>
      <c r="I47" s="3" t="s">
        <v>21</v>
      </c>
      <c r="J47" s="3" t="s">
        <v>19</v>
      </c>
      <c r="K47" s="3" t="n">
        <v>79.86</v>
      </c>
    </row>
    <row r="48" customFormat="false" ht="15" hidden="false" customHeight="false" outlineLevel="0" collapsed="false">
      <c r="A48" s="2" t="n">
        <v>47</v>
      </c>
      <c r="B48" s="2" t="n">
        <v>56</v>
      </c>
      <c r="C48" s="2" t="s">
        <v>11</v>
      </c>
      <c r="D48" s="2" t="s">
        <v>18</v>
      </c>
      <c r="E48" s="2" t="n">
        <v>36990</v>
      </c>
      <c r="F48" s="2" t="n">
        <v>9</v>
      </c>
      <c r="G48" s="2" t="n">
        <v>5</v>
      </c>
      <c r="H48" s="2" t="n">
        <v>7</v>
      </c>
      <c r="I48" s="2" t="s">
        <v>15</v>
      </c>
      <c r="J48" s="2" t="s">
        <v>19</v>
      </c>
      <c r="K48" s="2" t="n">
        <v>98.21</v>
      </c>
    </row>
    <row r="49" customFormat="false" ht="15" hidden="false" customHeight="false" outlineLevel="0" collapsed="false">
      <c r="A49" s="3" t="n">
        <v>48</v>
      </c>
      <c r="B49" s="3" t="n">
        <v>35</v>
      </c>
      <c r="C49" s="3" t="s">
        <v>11</v>
      </c>
      <c r="D49" s="3" t="s">
        <v>12</v>
      </c>
      <c r="E49" s="3" t="n">
        <v>55680</v>
      </c>
      <c r="F49" s="3" t="n">
        <v>7</v>
      </c>
      <c r="G49" s="3" t="n">
        <v>1</v>
      </c>
      <c r="H49" s="3" t="n">
        <v>3</v>
      </c>
      <c r="I49" s="3" t="s">
        <v>13</v>
      </c>
      <c r="J49" s="3" t="s">
        <v>19</v>
      </c>
      <c r="K49" s="3" t="n">
        <v>46.66</v>
      </c>
    </row>
    <row r="50" customFormat="false" ht="15" hidden="false" customHeight="false" outlineLevel="0" collapsed="false">
      <c r="A50" s="2" t="n">
        <v>49</v>
      </c>
      <c r="B50" s="2" t="n">
        <v>21</v>
      </c>
      <c r="C50" s="2" t="s">
        <v>17</v>
      </c>
      <c r="D50" s="2" t="s">
        <v>18</v>
      </c>
      <c r="E50" s="2" t="n">
        <v>54175</v>
      </c>
      <c r="F50" s="2" t="n">
        <v>4</v>
      </c>
      <c r="G50" s="2" t="n">
        <v>7</v>
      </c>
      <c r="H50" s="2" t="n">
        <v>5</v>
      </c>
      <c r="I50" s="2" t="s">
        <v>13</v>
      </c>
      <c r="J50" s="2" t="s">
        <v>14</v>
      </c>
      <c r="K50" s="2" t="n">
        <v>86.36</v>
      </c>
    </row>
    <row r="51" customFormat="false" ht="15" hidden="false" customHeight="false" outlineLevel="0" collapsed="false">
      <c r="A51" s="3" t="n">
        <v>50</v>
      </c>
      <c r="B51" s="3" t="n">
        <v>42</v>
      </c>
      <c r="C51" s="3" t="s">
        <v>11</v>
      </c>
      <c r="D51" s="3" t="s">
        <v>23</v>
      </c>
      <c r="E51" s="3" t="n">
        <v>111018</v>
      </c>
      <c r="F51" s="3" t="n">
        <v>8</v>
      </c>
      <c r="G51" s="3" t="n">
        <v>3</v>
      </c>
      <c r="H51" s="3" t="n">
        <v>20</v>
      </c>
      <c r="I51" s="3" t="s">
        <v>15</v>
      </c>
      <c r="J51" s="3" t="s">
        <v>16</v>
      </c>
      <c r="K51" s="3" t="n">
        <v>100</v>
      </c>
    </row>
    <row r="52" customFormat="false" ht="15" hidden="false" customHeight="false" outlineLevel="0" collapsed="false">
      <c r="A52" s="2" t="n">
        <v>51</v>
      </c>
      <c r="B52" s="2" t="n">
        <v>31</v>
      </c>
      <c r="C52" s="2" t="s">
        <v>11</v>
      </c>
      <c r="D52" s="2" t="s">
        <v>12</v>
      </c>
      <c r="E52" s="2" t="n">
        <v>43211</v>
      </c>
      <c r="F52" s="2" t="n">
        <v>6</v>
      </c>
      <c r="G52" s="2" t="n">
        <v>6</v>
      </c>
      <c r="H52" s="2" t="n">
        <v>11</v>
      </c>
      <c r="I52" s="2" t="s">
        <v>21</v>
      </c>
      <c r="J52" s="2" t="s">
        <v>14</v>
      </c>
      <c r="K52" s="2" t="n">
        <v>81.61</v>
      </c>
    </row>
    <row r="53" customFormat="false" ht="15" hidden="false" customHeight="false" outlineLevel="0" collapsed="false">
      <c r="A53" s="3" t="n">
        <v>52</v>
      </c>
      <c r="B53" s="3" t="n">
        <v>67</v>
      </c>
      <c r="C53" s="3" t="s">
        <v>11</v>
      </c>
      <c r="D53" s="3" t="s">
        <v>23</v>
      </c>
      <c r="E53" s="3" t="n">
        <v>114860</v>
      </c>
      <c r="F53" s="3" t="n">
        <v>6</v>
      </c>
      <c r="G53" s="3" t="n">
        <v>7</v>
      </c>
      <c r="H53" s="3" t="n">
        <v>12</v>
      </c>
      <c r="I53" s="3" t="s">
        <v>21</v>
      </c>
      <c r="J53" s="3" t="s">
        <v>14</v>
      </c>
      <c r="K53" s="3" t="n">
        <v>100</v>
      </c>
    </row>
    <row r="54" customFormat="false" ht="15" hidden="false" customHeight="false" outlineLevel="0" collapsed="false">
      <c r="A54" s="2" t="n">
        <v>53</v>
      </c>
      <c r="B54" s="2" t="n">
        <v>26</v>
      </c>
      <c r="C54" s="2" t="s">
        <v>17</v>
      </c>
      <c r="D54" s="2" t="s">
        <v>22</v>
      </c>
      <c r="E54" s="2" t="n">
        <v>57358</v>
      </c>
      <c r="F54" s="2" t="n">
        <v>3</v>
      </c>
      <c r="G54" s="2" t="n">
        <v>4</v>
      </c>
      <c r="H54" s="2" t="n">
        <v>19</v>
      </c>
      <c r="I54" s="2" t="s">
        <v>21</v>
      </c>
      <c r="J54" s="2" t="s">
        <v>19</v>
      </c>
      <c r="K54" s="2" t="n">
        <v>63.75</v>
      </c>
    </row>
    <row r="55" customFormat="false" ht="15" hidden="false" customHeight="false" outlineLevel="0" collapsed="false">
      <c r="A55" s="3" t="n">
        <v>54</v>
      </c>
      <c r="B55" s="3" t="n">
        <v>43</v>
      </c>
      <c r="C55" s="3" t="s">
        <v>17</v>
      </c>
      <c r="D55" s="3" t="s">
        <v>22</v>
      </c>
      <c r="E55" s="3" t="n">
        <v>54191</v>
      </c>
      <c r="F55" s="3" t="n">
        <v>2</v>
      </c>
      <c r="G55" s="3" t="n">
        <v>7</v>
      </c>
      <c r="H55" s="3" t="n">
        <v>18</v>
      </c>
      <c r="I55" s="3" t="s">
        <v>13</v>
      </c>
      <c r="J55" s="3" t="s">
        <v>16</v>
      </c>
      <c r="K55" s="3" t="n">
        <v>94.73</v>
      </c>
    </row>
    <row r="56" customFormat="false" ht="15" hidden="false" customHeight="false" outlineLevel="0" collapsed="false">
      <c r="A56" s="2" t="n">
        <v>55</v>
      </c>
      <c r="B56" s="2" t="n">
        <v>19</v>
      </c>
      <c r="C56" s="2" t="s">
        <v>17</v>
      </c>
      <c r="D56" s="2" t="s">
        <v>22</v>
      </c>
      <c r="E56" s="2" t="n">
        <v>99965</v>
      </c>
      <c r="F56" s="2" t="n">
        <v>3</v>
      </c>
      <c r="G56" s="2" t="n">
        <v>10</v>
      </c>
      <c r="H56" s="2" t="n">
        <v>4</v>
      </c>
      <c r="I56" s="2" t="s">
        <v>21</v>
      </c>
      <c r="J56" s="2" t="s">
        <v>16</v>
      </c>
      <c r="K56" s="2" t="n">
        <v>100</v>
      </c>
    </row>
    <row r="57" customFormat="false" ht="15" hidden="false" customHeight="false" outlineLevel="0" collapsed="false">
      <c r="A57" s="3" t="n">
        <v>56</v>
      </c>
      <c r="B57" s="3" t="n">
        <v>37</v>
      </c>
      <c r="C57" s="3" t="s">
        <v>11</v>
      </c>
      <c r="D57" s="3" t="s">
        <v>20</v>
      </c>
      <c r="E57" s="3" t="n">
        <v>114041</v>
      </c>
      <c r="F57" s="3" t="n">
        <v>7</v>
      </c>
      <c r="G57" s="3" t="n">
        <v>8</v>
      </c>
      <c r="H57" s="3" t="n">
        <v>11</v>
      </c>
      <c r="I57" s="3" t="s">
        <v>21</v>
      </c>
      <c r="J57" s="3" t="s">
        <v>19</v>
      </c>
      <c r="K57" s="3" t="n">
        <v>100</v>
      </c>
    </row>
    <row r="58" customFormat="false" ht="15" hidden="false" customHeight="false" outlineLevel="0" collapsed="false">
      <c r="A58" s="2" t="n">
        <v>57</v>
      </c>
      <c r="B58" s="2" t="n">
        <v>45</v>
      </c>
      <c r="C58" s="2" t="s">
        <v>17</v>
      </c>
      <c r="D58" s="2" t="s">
        <v>20</v>
      </c>
      <c r="E58" s="2" t="n">
        <v>70385</v>
      </c>
      <c r="F58" s="2" t="n">
        <v>3</v>
      </c>
      <c r="G58" s="2" t="n">
        <v>10</v>
      </c>
      <c r="H58" s="2" t="n">
        <v>16</v>
      </c>
      <c r="I58" s="2" t="s">
        <v>13</v>
      </c>
      <c r="J58" s="2" t="s">
        <v>14</v>
      </c>
      <c r="K58" s="2" t="n">
        <v>100</v>
      </c>
    </row>
    <row r="59" customFormat="false" ht="15" hidden="false" customHeight="false" outlineLevel="0" collapsed="false">
      <c r="A59" s="3" t="n">
        <v>58</v>
      </c>
      <c r="B59" s="3" t="n">
        <v>64</v>
      </c>
      <c r="C59" s="3" t="s">
        <v>11</v>
      </c>
      <c r="D59" s="3" t="s">
        <v>22</v>
      </c>
      <c r="E59" s="3" t="n">
        <v>55312</v>
      </c>
      <c r="F59" s="3" t="n">
        <v>7</v>
      </c>
      <c r="G59" s="3" t="n">
        <v>9</v>
      </c>
      <c r="H59" s="3" t="n">
        <v>7</v>
      </c>
      <c r="I59" s="3" t="s">
        <v>13</v>
      </c>
      <c r="J59" s="3" t="s">
        <v>14</v>
      </c>
      <c r="K59" s="3" t="n">
        <v>99.01</v>
      </c>
    </row>
    <row r="60" customFormat="false" ht="15" hidden="false" customHeight="false" outlineLevel="0" collapsed="false">
      <c r="A60" s="2" t="n">
        <v>59</v>
      </c>
      <c r="B60" s="2" t="n">
        <v>24</v>
      </c>
      <c r="C60" s="2" t="s">
        <v>17</v>
      </c>
      <c r="D60" s="2" t="s">
        <v>20</v>
      </c>
      <c r="E60" s="2" t="n">
        <v>99717</v>
      </c>
      <c r="F60" s="2" t="n">
        <v>3</v>
      </c>
      <c r="G60" s="2" t="n">
        <v>9</v>
      </c>
      <c r="H60" s="2" t="n">
        <v>1</v>
      </c>
      <c r="I60" s="2" t="s">
        <v>21</v>
      </c>
      <c r="J60" s="2" t="s">
        <v>19</v>
      </c>
      <c r="K60" s="2" t="n">
        <v>91.14</v>
      </c>
    </row>
    <row r="61" customFormat="false" ht="15" hidden="false" customHeight="false" outlineLevel="0" collapsed="false">
      <c r="A61" s="3" t="n">
        <v>60</v>
      </c>
      <c r="B61" s="3" t="n">
        <v>61</v>
      </c>
      <c r="C61" s="3" t="s">
        <v>11</v>
      </c>
      <c r="D61" s="3" t="s">
        <v>20</v>
      </c>
      <c r="E61" s="3" t="n">
        <v>116849</v>
      </c>
      <c r="F61" s="3" t="n">
        <v>4</v>
      </c>
      <c r="G61" s="3" t="n">
        <v>7</v>
      </c>
      <c r="H61" s="3" t="n">
        <v>16</v>
      </c>
      <c r="I61" s="3" t="s">
        <v>15</v>
      </c>
      <c r="J61" s="3" t="s">
        <v>19</v>
      </c>
      <c r="K61" s="3" t="n">
        <v>100</v>
      </c>
    </row>
    <row r="62" customFormat="false" ht="15" hidden="false" customHeight="false" outlineLevel="0" collapsed="false">
      <c r="A62" s="2" t="n">
        <v>61</v>
      </c>
      <c r="B62" s="2" t="n">
        <v>25</v>
      </c>
      <c r="C62" s="2" t="s">
        <v>17</v>
      </c>
      <c r="D62" s="2" t="s">
        <v>23</v>
      </c>
      <c r="E62" s="2" t="n">
        <v>39919</v>
      </c>
      <c r="F62" s="2" t="n">
        <v>5</v>
      </c>
      <c r="G62" s="2" t="n">
        <v>1</v>
      </c>
      <c r="H62" s="2" t="n">
        <v>15</v>
      </c>
      <c r="I62" s="2" t="s">
        <v>13</v>
      </c>
      <c r="J62" s="2" t="s">
        <v>16</v>
      </c>
      <c r="K62" s="2" t="n">
        <v>59.41</v>
      </c>
    </row>
    <row r="63" customFormat="false" ht="15" hidden="false" customHeight="false" outlineLevel="0" collapsed="false">
      <c r="A63" s="3" t="n">
        <v>62</v>
      </c>
      <c r="B63" s="3" t="n">
        <v>64</v>
      </c>
      <c r="C63" s="3" t="s">
        <v>17</v>
      </c>
      <c r="D63" s="3" t="s">
        <v>12</v>
      </c>
      <c r="E63" s="3" t="n">
        <v>108598</v>
      </c>
      <c r="F63" s="3" t="n">
        <v>2</v>
      </c>
      <c r="G63" s="3" t="n">
        <v>5</v>
      </c>
      <c r="H63" s="3" t="n">
        <v>3</v>
      </c>
      <c r="I63" s="3" t="s">
        <v>15</v>
      </c>
      <c r="J63" s="3" t="s">
        <v>16</v>
      </c>
      <c r="K63" s="3" t="n">
        <v>90.05</v>
      </c>
    </row>
    <row r="64" customFormat="false" ht="15" hidden="false" customHeight="false" outlineLevel="0" collapsed="false">
      <c r="A64" s="2" t="n">
        <v>63</v>
      </c>
      <c r="B64" s="2" t="n">
        <v>52</v>
      </c>
      <c r="C64" s="2" t="s">
        <v>11</v>
      </c>
      <c r="D64" s="2" t="s">
        <v>22</v>
      </c>
      <c r="E64" s="2" t="n">
        <v>81699</v>
      </c>
      <c r="F64" s="2" t="n">
        <v>5</v>
      </c>
      <c r="G64" s="2" t="n">
        <v>10</v>
      </c>
      <c r="H64" s="2" t="n">
        <v>17</v>
      </c>
      <c r="I64" s="2" t="s">
        <v>21</v>
      </c>
      <c r="J64" s="2" t="s">
        <v>16</v>
      </c>
      <c r="K64" s="2" t="n">
        <v>100</v>
      </c>
    </row>
    <row r="65" customFormat="false" ht="15" hidden="false" customHeight="false" outlineLevel="0" collapsed="false">
      <c r="A65" s="3" t="n">
        <v>64</v>
      </c>
      <c r="B65" s="3" t="n">
        <v>31</v>
      </c>
      <c r="C65" s="3" t="s">
        <v>11</v>
      </c>
      <c r="D65" s="3" t="s">
        <v>20</v>
      </c>
      <c r="E65" s="3" t="n">
        <v>56536</v>
      </c>
      <c r="F65" s="3" t="n">
        <v>10</v>
      </c>
      <c r="G65" s="3" t="n">
        <v>1</v>
      </c>
      <c r="H65" s="3" t="n">
        <v>1</v>
      </c>
      <c r="I65" s="3" t="s">
        <v>21</v>
      </c>
      <c r="J65" s="3" t="s">
        <v>16</v>
      </c>
      <c r="K65" s="3" t="n">
        <v>67.19</v>
      </c>
    </row>
    <row r="66" customFormat="false" ht="15" hidden="false" customHeight="false" outlineLevel="0" collapsed="false">
      <c r="A66" s="2" t="n">
        <v>65</v>
      </c>
      <c r="B66" s="2" t="n">
        <v>34</v>
      </c>
      <c r="C66" s="2" t="s">
        <v>17</v>
      </c>
      <c r="D66" s="2" t="s">
        <v>23</v>
      </c>
      <c r="E66" s="2" t="n">
        <v>70364</v>
      </c>
      <c r="F66" s="2" t="n">
        <v>6</v>
      </c>
      <c r="G66" s="2" t="n">
        <v>1</v>
      </c>
      <c r="H66" s="2" t="n">
        <v>18</v>
      </c>
      <c r="I66" s="2" t="s">
        <v>21</v>
      </c>
      <c r="J66" s="2" t="s">
        <v>16</v>
      </c>
      <c r="K66" s="2" t="n">
        <v>60.67</v>
      </c>
    </row>
    <row r="67" customFormat="false" ht="15" hidden="false" customHeight="false" outlineLevel="0" collapsed="false">
      <c r="A67" s="3" t="n">
        <v>66</v>
      </c>
      <c r="B67" s="3" t="n">
        <v>53</v>
      </c>
      <c r="C67" s="3" t="s">
        <v>17</v>
      </c>
      <c r="D67" s="3" t="s">
        <v>23</v>
      </c>
      <c r="E67" s="3" t="n">
        <v>99149</v>
      </c>
      <c r="F67" s="3" t="n">
        <v>9</v>
      </c>
      <c r="G67" s="3" t="n">
        <v>2</v>
      </c>
      <c r="H67" s="3" t="n">
        <v>8</v>
      </c>
      <c r="I67" s="3" t="s">
        <v>13</v>
      </c>
      <c r="J67" s="3" t="s">
        <v>14</v>
      </c>
      <c r="K67" s="3" t="n">
        <v>87.19</v>
      </c>
    </row>
    <row r="68" customFormat="false" ht="15" hidden="false" customHeight="false" outlineLevel="0" collapsed="false">
      <c r="A68" s="2" t="n">
        <v>67</v>
      </c>
      <c r="B68" s="2" t="n">
        <v>67</v>
      </c>
      <c r="C68" s="2" t="s">
        <v>11</v>
      </c>
      <c r="D68" s="2" t="s">
        <v>12</v>
      </c>
      <c r="E68" s="2" t="n">
        <v>115925</v>
      </c>
      <c r="F68" s="2" t="n">
        <v>10</v>
      </c>
      <c r="G68" s="2" t="n">
        <v>3</v>
      </c>
      <c r="H68" s="2" t="n">
        <v>18</v>
      </c>
      <c r="I68" s="2" t="s">
        <v>21</v>
      </c>
      <c r="J68" s="2" t="s">
        <v>16</v>
      </c>
      <c r="K68" s="2" t="n">
        <v>100</v>
      </c>
    </row>
    <row r="69" customFormat="false" ht="15" hidden="false" customHeight="false" outlineLevel="0" collapsed="false">
      <c r="A69" s="3" t="n">
        <v>68</v>
      </c>
      <c r="B69" s="3" t="n">
        <v>57</v>
      </c>
      <c r="C69" s="3" t="s">
        <v>17</v>
      </c>
      <c r="D69" s="3" t="s">
        <v>23</v>
      </c>
      <c r="E69" s="3" t="n">
        <v>34262</v>
      </c>
      <c r="F69" s="3" t="n">
        <v>4</v>
      </c>
      <c r="G69" s="3" t="n">
        <v>9</v>
      </c>
      <c r="H69" s="3" t="n">
        <v>18</v>
      </c>
      <c r="I69" s="3" t="s">
        <v>21</v>
      </c>
      <c r="J69" s="3" t="s">
        <v>16</v>
      </c>
      <c r="K69" s="3" t="n">
        <v>99.86</v>
      </c>
    </row>
    <row r="70" customFormat="false" ht="15" hidden="false" customHeight="false" outlineLevel="0" collapsed="false">
      <c r="A70" s="2" t="n">
        <v>69</v>
      </c>
      <c r="B70" s="2" t="n">
        <v>21</v>
      </c>
      <c r="C70" s="2" t="s">
        <v>11</v>
      </c>
      <c r="D70" s="2" t="s">
        <v>18</v>
      </c>
      <c r="E70" s="2" t="n">
        <v>64450</v>
      </c>
      <c r="F70" s="2" t="n">
        <v>10</v>
      </c>
      <c r="G70" s="2" t="n">
        <v>3</v>
      </c>
      <c r="H70" s="2" t="n">
        <v>4</v>
      </c>
      <c r="I70" s="2" t="s">
        <v>15</v>
      </c>
      <c r="J70" s="2" t="s">
        <v>19</v>
      </c>
      <c r="K70" s="2" t="n">
        <v>100</v>
      </c>
    </row>
    <row r="71" customFormat="false" ht="15" hidden="false" customHeight="false" outlineLevel="0" collapsed="false">
      <c r="A71" s="3" t="n">
        <v>70</v>
      </c>
      <c r="B71" s="3" t="n">
        <v>19</v>
      </c>
      <c r="C71" s="3" t="s">
        <v>11</v>
      </c>
      <c r="D71" s="3" t="s">
        <v>18</v>
      </c>
      <c r="E71" s="3" t="n">
        <v>75486</v>
      </c>
      <c r="F71" s="3" t="n">
        <v>5</v>
      </c>
      <c r="G71" s="3" t="n">
        <v>4</v>
      </c>
      <c r="H71" s="3" t="n">
        <v>20</v>
      </c>
      <c r="I71" s="3" t="s">
        <v>13</v>
      </c>
      <c r="J71" s="3" t="s">
        <v>19</v>
      </c>
      <c r="K71" s="3" t="n">
        <v>80.11</v>
      </c>
    </row>
    <row r="72" customFormat="false" ht="15" hidden="false" customHeight="false" outlineLevel="0" collapsed="false">
      <c r="A72" s="2" t="n">
        <v>71</v>
      </c>
      <c r="B72" s="2" t="n">
        <v>23</v>
      </c>
      <c r="C72" s="2" t="s">
        <v>11</v>
      </c>
      <c r="D72" s="2" t="s">
        <v>22</v>
      </c>
      <c r="E72" s="2" t="n">
        <v>91477</v>
      </c>
      <c r="F72" s="2" t="n">
        <v>4</v>
      </c>
      <c r="G72" s="2" t="n">
        <v>3</v>
      </c>
      <c r="H72" s="2" t="n">
        <v>14</v>
      </c>
      <c r="I72" s="2" t="s">
        <v>21</v>
      </c>
      <c r="J72" s="2" t="s">
        <v>19</v>
      </c>
      <c r="K72" s="2" t="n">
        <v>91.6</v>
      </c>
    </row>
    <row r="73" customFormat="false" ht="15" hidden="false" customHeight="false" outlineLevel="0" collapsed="false">
      <c r="A73" s="3" t="n">
        <v>72</v>
      </c>
      <c r="B73" s="3" t="n">
        <v>59</v>
      </c>
      <c r="C73" s="3" t="s">
        <v>11</v>
      </c>
      <c r="D73" s="3" t="s">
        <v>12</v>
      </c>
      <c r="E73" s="3" t="n">
        <v>60308</v>
      </c>
      <c r="F73" s="3" t="n">
        <v>5</v>
      </c>
      <c r="G73" s="3" t="n">
        <v>2</v>
      </c>
      <c r="H73" s="3" t="n">
        <v>6</v>
      </c>
      <c r="I73" s="3" t="s">
        <v>21</v>
      </c>
      <c r="J73" s="3" t="s">
        <v>14</v>
      </c>
      <c r="K73" s="3" t="n">
        <v>76.91</v>
      </c>
    </row>
    <row r="74" customFormat="false" ht="15" hidden="false" customHeight="false" outlineLevel="0" collapsed="false">
      <c r="A74" s="2" t="n">
        <v>73</v>
      </c>
      <c r="B74" s="2" t="n">
        <v>21</v>
      </c>
      <c r="C74" s="2" t="s">
        <v>11</v>
      </c>
      <c r="D74" s="2" t="s">
        <v>18</v>
      </c>
      <c r="E74" s="2" t="n">
        <v>43257</v>
      </c>
      <c r="F74" s="2" t="n">
        <v>1</v>
      </c>
      <c r="G74" s="2" t="n">
        <v>4</v>
      </c>
      <c r="H74" s="2" t="n">
        <v>4</v>
      </c>
      <c r="I74" s="2" t="s">
        <v>13</v>
      </c>
      <c r="J74" s="2" t="s">
        <v>19</v>
      </c>
      <c r="K74" s="2" t="n">
        <v>46.58</v>
      </c>
    </row>
    <row r="75" customFormat="false" ht="15" hidden="false" customHeight="false" outlineLevel="0" collapsed="false">
      <c r="A75" s="3" t="n">
        <v>74</v>
      </c>
      <c r="B75" s="3" t="n">
        <v>46</v>
      </c>
      <c r="C75" s="3" t="s">
        <v>11</v>
      </c>
      <c r="D75" s="3" t="s">
        <v>12</v>
      </c>
      <c r="E75" s="3" t="n">
        <v>104318</v>
      </c>
      <c r="F75" s="3" t="n">
        <v>8</v>
      </c>
      <c r="G75" s="3" t="n">
        <v>10</v>
      </c>
      <c r="H75" s="3" t="n">
        <v>9</v>
      </c>
      <c r="I75" s="3" t="s">
        <v>13</v>
      </c>
      <c r="J75" s="3" t="s">
        <v>14</v>
      </c>
      <c r="K75" s="3" t="n">
        <v>100</v>
      </c>
    </row>
    <row r="76" customFormat="false" ht="15" hidden="false" customHeight="false" outlineLevel="0" collapsed="false">
      <c r="A76" s="2" t="n">
        <v>75</v>
      </c>
      <c r="B76" s="2" t="n">
        <v>35</v>
      </c>
      <c r="C76" s="2" t="s">
        <v>11</v>
      </c>
      <c r="D76" s="2" t="s">
        <v>22</v>
      </c>
      <c r="E76" s="2" t="n">
        <v>98548</v>
      </c>
      <c r="F76" s="2" t="n">
        <v>9</v>
      </c>
      <c r="G76" s="2" t="n">
        <v>9</v>
      </c>
      <c r="H76" s="2" t="n">
        <v>10</v>
      </c>
      <c r="I76" s="2" t="s">
        <v>15</v>
      </c>
      <c r="J76" s="2" t="s">
        <v>19</v>
      </c>
      <c r="K76" s="2" t="n">
        <v>100</v>
      </c>
    </row>
    <row r="77" customFormat="false" ht="15" hidden="false" customHeight="false" outlineLevel="0" collapsed="false">
      <c r="A77" s="3" t="n">
        <v>76</v>
      </c>
      <c r="B77" s="3" t="n">
        <v>43</v>
      </c>
      <c r="C77" s="3" t="s">
        <v>11</v>
      </c>
      <c r="D77" s="3" t="s">
        <v>23</v>
      </c>
      <c r="E77" s="3" t="n">
        <v>90145</v>
      </c>
      <c r="F77" s="3" t="n">
        <v>3</v>
      </c>
      <c r="G77" s="3" t="n">
        <v>6</v>
      </c>
      <c r="H77" s="3" t="n">
        <v>3</v>
      </c>
      <c r="I77" s="3" t="s">
        <v>15</v>
      </c>
      <c r="J77" s="3" t="s">
        <v>14</v>
      </c>
      <c r="K77" s="3" t="n">
        <v>78.7</v>
      </c>
    </row>
    <row r="78" customFormat="false" ht="15" hidden="false" customHeight="false" outlineLevel="0" collapsed="false">
      <c r="A78" s="2" t="n">
        <v>77</v>
      </c>
      <c r="B78" s="2" t="n">
        <v>61</v>
      </c>
      <c r="C78" s="2" t="s">
        <v>11</v>
      </c>
      <c r="D78" s="2" t="s">
        <v>23</v>
      </c>
      <c r="E78" s="2" t="n">
        <v>64282</v>
      </c>
      <c r="F78" s="2" t="n">
        <v>10</v>
      </c>
      <c r="G78" s="2" t="n">
        <v>1</v>
      </c>
      <c r="H78" s="2" t="n">
        <v>16</v>
      </c>
      <c r="I78" s="2" t="s">
        <v>15</v>
      </c>
      <c r="J78" s="2" t="s">
        <v>14</v>
      </c>
      <c r="K78" s="2" t="n">
        <v>83.31</v>
      </c>
    </row>
    <row r="79" customFormat="false" ht="15" hidden="false" customHeight="false" outlineLevel="0" collapsed="false">
      <c r="A79" s="3" t="n">
        <v>78</v>
      </c>
      <c r="B79" s="3" t="n">
        <v>51</v>
      </c>
      <c r="C79" s="3" t="s">
        <v>11</v>
      </c>
      <c r="D79" s="3" t="s">
        <v>23</v>
      </c>
      <c r="E79" s="3" t="n">
        <v>58514</v>
      </c>
      <c r="F79" s="3" t="n">
        <v>3</v>
      </c>
      <c r="G79" s="3" t="n">
        <v>6</v>
      </c>
      <c r="H79" s="3" t="n">
        <v>17</v>
      </c>
      <c r="I79" s="3" t="s">
        <v>15</v>
      </c>
      <c r="J79" s="3" t="s">
        <v>14</v>
      </c>
      <c r="K79" s="3" t="n">
        <v>87.35</v>
      </c>
    </row>
    <row r="80" customFormat="false" ht="15" hidden="false" customHeight="false" outlineLevel="0" collapsed="false">
      <c r="A80" s="2" t="n">
        <v>79</v>
      </c>
      <c r="B80" s="2" t="n">
        <v>27</v>
      </c>
      <c r="C80" s="2" t="s">
        <v>11</v>
      </c>
      <c r="D80" s="2" t="s">
        <v>18</v>
      </c>
      <c r="E80" s="2" t="n">
        <v>47155</v>
      </c>
      <c r="F80" s="2" t="n">
        <v>9</v>
      </c>
      <c r="G80" s="2" t="n">
        <v>5</v>
      </c>
      <c r="H80" s="2" t="n">
        <v>1</v>
      </c>
      <c r="I80" s="2" t="s">
        <v>21</v>
      </c>
      <c r="J80" s="2" t="s">
        <v>19</v>
      </c>
      <c r="K80" s="2" t="n">
        <v>87.48</v>
      </c>
    </row>
    <row r="81" customFormat="false" ht="15" hidden="false" customHeight="false" outlineLevel="0" collapsed="false">
      <c r="A81" s="3" t="n">
        <v>80</v>
      </c>
      <c r="B81" s="3" t="n">
        <v>53</v>
      </c>
      <c r="C81" s="3" t="s">
        <v>11</v>
      </c>
      <c r="D81" s="3" t="s">
        <v>12</v>
      </c>
      <c r="E81" s="3" t="n">
        <v>95408</v>
      </c>
      <c r="F81" s="3" t="n">
        <v>9</v>
      </c>
      <c r="G81" s="3" t="n">
        <v>8</v>
      </c>
      <c r="H81" s="3" t="n">
        <v>11</v>
      </c>
      <c r="I81" s="3" t="s">
        <v>13</v>
      </c>
      <c r="J81" s="3" t="s">
        <v>14</v>
      </c>
      <c r="K81" s="3" t="n">
        <v>100</v>
      </c>
    </row>
    <row r="82" customFormat="false" ht="15" hidden="false" customHeight="false" outlineLevel="0" collapsed="false">
      <c r="A82" s="2" t="n">
        <v>81</v>
      </c>
      <c r="B82" s="2" t="n">
        <v>31</v>
      </c>
      <c r="C82" s="2" t="s">
        <v>11</v>
      </c>
      <c r="D82" s="2" t="s">
        <v>18</v>
      </c>
      <c r="E82" s="2" t="n">
        <v>102144</v>
      </c>
      <c r="F82" s="2" t="n">
        <v>7</v>
      </c>
      <c r="G82" s="2" t="n">
        <v>9</v>
      </c>
      <c r="H82" s="2" t="n">
        <v>2</v>
      </c>
      <c r="I82" s="2" t="s">
        <v>13</v>
      </c>
      <c r="J82" s="2" t="s">
        <v>19</v>
      </c>
      <c r="K82" s="2" t="n">
        <v>91.72</v>
      </c>
    </row>
    <row r="83" customFormat="false" ht="15" hidden="false" customHeight="false" outlineLevel="0" collapsed="false">
      <c r="A83" s="3" t="n">
        <v>82</v>
      </c>
      <c r="B83" s="3" t="n">
        <v>48</v>
      </c>
      <c r="C83" s="3" t="s">
        <v>11</v>
      </c>
      <c r="D83" s="3" t="s">
        <v>20</v>
      </c>
      <c r="E83" s="3" t="n">
        <v>84868</v>
      </c>
      <c r="F83" s="3" t="n">
        <v>5</v>
      </c>
      <c r="G83" s="3" t="n">
        <v>4</v>
      </c>
      <c r="H83" s="3" t="n">
        <v>11</v>
      </c>
      <c r="I83" s="3" t="s">
        <v>13</v>
      </c>
      <c r="J83" s="3" t="s">
        <v>16</v>
      </c>
      <c r="K83" s="3" t="n">
        <v>71.21</v>
      </c>
    </row>
    <row r="84" customFormat="false" ht="15" hidden="false" customHeight="false" outlineLevel="0" collapsed="false">
      <c r="A84" s="2" t="n">
        <v>83</v>
      </c>
      <c r="B84" s="2" t="n">
        <v>65</v>
      </c>
      <c r="C84" s="2" t="s">
        <v>11</v>
      </c>
      <c r="D84" s="2" t="s">
        <v>12</v>
      </c>
      <c r="E84" s="2" t="n">
        <v>56005</v>
      </c>
      <c r="F84" s="2" t="n">
        <v>1</v>
      </c>
      <c r="G84" s="2" t="n">
        <v>8</v>
      </c>
      <c r="H84" s="2" t="n">
        <v>12</v>
      </c>
      <c r="I84" s="2" t="s">
        <v>13</v>
      </c>
      <c r="J84" s="2" t="s">
        <v>16</v>
      </c>
      <c r="K84" s="2" t="n">
        <v>88.37</v>
      </c>
    </row>
    <row r="85" customFormat="false" ht="15" hidden="false" customHeight="false" outlineLevel="0" collapsed="false">
      <c r="A85" s="3" t="n">
        <v>84</v>
      </c>
      <c r="B85" s="3" t="n">
        <v>32</v>
      </c>
      <c r="C85" s="3" t="s">
        <v>11</v>
      </c>
      <c r="D85" s="3" t="s">
        <v>22</v>
      </c>
      <c r="E85" s="3" t="n">
        <v>41451</v>
      </c>
      <c r="F85" s="3" t="n">
        <v>9</v>
      </c>
      <c r="G85" s="3" t="n">
        <v>8</v>
      </c>
      <c r="H85" s="3" t="n">
        <v>1</v>
      </c>
      <c r="I85" s="3" t="s">
        <v>13</v>
      </c>
      <c r="J85" s="3" t="s">
        <v>16</v>
      </c>
      <c r="K85" s="3" t="n">
        <v>100</v>
      </c>
    </row>
    <row r="86" customFormat="false" ht="15" hidden="false" customHeight="false" outlineLevel="0" collapsed="false">
      <c r="A86" s="2" t="n">
        <v>85</v>
      </c>
      <c r="B86" s="2" t="n">
        <v>25</v>
      </c>
      <c r="C86" s="2" t="s">
        <v>17</v>
      </c>
      <c r="D86" s="2" t="s">
        <v>18</v>
      </c>
      <c r="E86" s="2" t="n">
        <v>65875</v>
      </c>
      <c r="F86" s="2" t="n">
        <v>6</v>
      </c>
      <c r="G86" s="2" t="n">
        <v>4</v>
      </c>
      <c r="H86" s="2" t="n">
        <v>11</v>
      </c>
      <c r="I86" s="2" t="s">
        <v>13</v>
      </c>
      <c r="J86" s="2" t="s">
        <v>16</v>
      </c>
      <c r="K86" s="2" t="n">
        <v>84.12</v>
      </c>
    </row>
    <row r="87" customFormat="false" ht="15" hidden="false" customHeight="false" outlineLevel="0" collapsed="false">
      <c r="A87" s="3" t="n">
        <v>86</v>
      </c>
      <c r="B87" s="3" t="n">
        <v>31</v>
      </c>
      <c r="C87" s="3" t="s">
        <v>17</v>
      </c>
      <c r="D87" s="3" t="s">
        <v>23</v>
      </c>
      <c r="E87" s="3" t="n">
        <v>118933</v>
      </c>
      <c r="F87" s="3" t="n">
        <v>3</v>
      </c>
      <c r="G87" s="3" t="n">
        <v>1</v>
      </c>
      <c r="H87" s="3" t="n">
        <v>17</v>
      </c>
      <c r="I87" s="3" t="s">
        <v>13</v>
      </c>
      <c r="J87" s="3" t="s">
        <v>14</v>
      </c>
      <c r="K87" s="3" t="n">
        <v>51.57</v>
      </c>
    </row>
    <row r="88" customFormat="false" ht="15" hidden="false" customHeight="false" outlineLevel="0" collapsed="false">
      <c r="A88" s="2" t="n">
        <v>87</v>
      </c>
      <c r="B88" s="2" t="n">
        <v>40</v>
      </c>
      <c r="C88" s="2" t="s">
        <v>11</v>
      </c>
      <c r="D88" s="2" t="s">
        <v>23</v>
      </c>
      <c r="E88" s="2" t="n">
        <v>115896</v>
      </c>
      <c r="F88" s="2" t="n">
        <v>5</v>
      </c>
      <c r="G88" s="2" t="n">
        <v>4</v>
      </c>
      <c r="H88" s="2" t="n">
        <v>9</v>
      </c>
      <c r="I88" s="2" t="s">
        <v>15</v>
      </c>
      <c r="J88" s="2" t="s">
        <v>19</v>
      </c>
      <c r="K88" s="2" t="n">
        <v>79.53</v>
      </c>
    </row>
    <row r="89" customFormat="false" ht="15" hidden="false" customHeight="false" outlineLevel="0" collapsed="false">
      <c r="A89" s="3" t="n">
        <v>88</v>
      </c>
      <c r="B89" s="3" t="n">
        <v>57</v>
      </c>
      <c r="C89" s="3" t="s">
        <v>17</v>
      </c>
      <c r="D89" s="3" t="s">
        <v>23</v>
      </c>
      <c r="E89" s="3" t="n">
        <v>98973</v>
      </c>
      <c r="F89" s="3" t="n">
        <v>9</v>
      </c>
      <c r="G89" s="3" t="n">
        <v>10</v>
      </c>
      <c r="H89" s="3" t="n">
        <v>15</v>
      </c>
      <c r="I89" s="3" t="s">
        <v>15</v>
      </c>
      <c r="J89" s="3" t="s">
        <v>19</v>
      </c>
      <c r="K89" s="3" t="n">
        <v>100</v>
      </c>
    </row>
    <row r="90" customFormat="false" ht="15" hidden="false" customHeight="false" outlineLevel="0" collapsed="false">
      <c r="A90" s="2" t="n">
        <v>89</v>
      </c>
      <c r="B90" s="2" t="n">
        <v>38</v>
      </c>
      <c r="C90" s="2" t="s">
        <v>17</v>
      </c>
      <c r="D90" s="2" t="s">
        <v>18</v>
      </c>
      <c r="E90" s="2" t="n">
        <v>44838</v>
      </c>
      <c r="F90" s="2" t="n">
        <v>1</v>
      </c>
      <c r="G90" s="2" t="n">
        <v>7</v>
      </c>
      <c r="H90" s="2" t="n">
        <v>16</v>
      </c>
      <c r="I90" s="2" t="s">
        <v>21</v>
      </c>
      <c r="J90" s="2" t="s">
        <v>14</v>
      </c>
      <c r="K90" s="2" t="n">
        <v>84.79</v>
      </c>
    </row>
    <row r="91" customFormat="false" ht="15" hidden="false" customHeight="false" outlineLevel="0" collapsed="false">
      <c r="A91" s="3" t="n">
        <v>90</v>
      </c>
      <c r="B91" s="3" t="n">
        <v>33</v>
      </c>
      <c r="C91" s="3" t="s">
        <v>17</v>
      </c>
      <c r="D91" s="3" t="s">
        <v>18</v>
      </c>
      <c r="E91" s="3" t="n">
        <v>108700</v>
      </c>
      <c r="F91" s="3" t="n">
        <v>10</v>
      </c>
      <c r="G91" s="3" t="n">
        <v>3</v>
      </c>
      <c r="H91" s="3" t="n">
        <v>1</v>
      </c>
      <c r="I91" s="3" t="s">
        <v>15</v>
      </c>
      <c r="J91" s="3" t="s">
        <v>19</v>
      </c>
      <c r="K91" s="3" t="n">
        <v>100</v>
      </c>
    </row>
    <row r="92" customFormat="false" ht="15" hidden="false" customHeight="false" outlineLevel="0" collapsed="false">
      <c r="A92" s="2" t="n">
        <v>91</v>
      </c>
      <c r="B92" s="2" t="n">
        <v>62</v>
      </c>
      <c r="C92" s="2" t="s">
        <v>11</v>
      </c>
      <c r="D92" s="2" t="s">
        <v>23</v>
      </c>
      <c r="E92" s="2" t="n">
        <v>69885</v>
      </c>
      <c r="F92" s="2" t="n">
        <v>1</v>
      </c>
      <c r="G92" s="2" t="n">
        <v>6</v>
      </c>
      <c r="H92" s="2" t="n">
        <v>14</v>
      </c>
      <c r="I92" s="2" t="s">
        <v>15</v>
      </c>
      <c r="J92" s="2" t="s">
        <v>16</v>
      </c>
      <c r="K92" s="2" t="n">
        <v>71.42</v>
      </c>
    </row>
    <row r="93" customFormat="false" ht="15" hidden="false" customHeight="false" outlineLevel="0" collapsed="false">
      <c r="A93" s="3" t="n">
        <v>92</v>
      </c>
      <c r="B93" s="3" t="n">
        <v>35</v>
      </c>
      <c r="C93" s="3" t="s">
        <v>11</v>
      </c>
      <c r="D93" s="3" t="s">
        <v>23</v>
      </c>
      <c r="E93" s="3" t="n">
        <v>71049</v>
      </c>
      <c r="F93" s="3" t="n">
        <v>10</v>
      </c>
      <c r="G93" s="3" t="n">
        <v>2</v>
      </c>
      <c r="H93" s="3" t="n">
        <v>7</v>
      </c>
      <c r="I93" s="3" t="s">
        <v>21</v>
      </c>
      <c r="J93" s="3" t="s">
        <v>19</v>
      </c>
      <c r="K93" s="3" t="n">
        <v>77.42</v>
      </c>
    </row>
    <row r="94" customFormat="false" ht="15" hidden="false" customHeight="false" outlineLevel="0" collapsed="false">
      <c r="A94" s="2" t="n">
        <v>93</v>
      </c>
      <c r="B94" s="2" t="n">
        <v>64</v>
      </c>
      <c r="C94" s="2" t="s">
        <v>11</v>
      </c>
      <c r="D94" s="2" t="s">
        <v>23</v>
      </c>
      <c r="E94" s="2" t="n">
        <v>56243</v>
      </c>
      <c r="F94" s="2" t="n">
        <v>4</v>
      </c>
      <c r="G94" s="2" t="n">
        <v>10</v>
      </c>
      <c r="H94" s="2" t="n">
        <v>6</v>
      </c>
      <c r="I94" s="2" t="s">
        <v>15</v>
      </c>
      <c r="J94" s="2" t="s">
        <v>16</v>
      </c>
      <c r="K94" s="2" t="n">
        <v>100</v>
      </c>
    </row>
    <row r="95" customFormat="false" ht="15" hidden="false" customHeight="false" outlineLevel="0" collapsed="false">
      <c r="A95" s="3" t="n">
        <v>94</v>
      </c>
      <c r="B95" s="3" t="n">
        <v>41</v>
      </c>
      <c r="C95" s="3" t="s">
        <v>17</v>
      </c>
      <c r="D95" s="3" t="s">
        <v>20</v>
      </c>
      <c r="E95" s="3" t="n">
        <v>65122</v>
      </c>
      <c r="F95" s="3" t="n">
        <v>6</v>
      </c>
      <c r="G95" s="3" t="n">
        <v>7</v>
      </c>
      <c r="H95" s="3" t="n">
        <v>18</v>
      </c>
      <c r="I95" s="3" t="s">
        <v>15</v>
      </c>
      <c r="J95" s="3" t="s">
        <v>16</v>
      </c>
      <c r="K95" s="3" t="n">
        <v>82.91</v>
      </c>
    </row>
    <row r="96" customFormat="false" ht="15" hidden="false" customHeight="false" outlineLevel="0" collapsed="false">
      <c r="A96" s="2" t="n">
        <v>95</v>
      </c>
      <c r="B96" s="2" t="n">
        <v>43</v>
      </c>
      <c r="C96" s="2" t="s">
        <v>17</v>
      </c>
      <c r="D96" s="2" t="s">
        <v>18</v>
      </c>
      <c r="E96" s="2" t="n">
        <v>52438</v>
      </c>
      <c r="F96" s="2" t="n">
        <v>3</v>
      </c>
      <c r="G96" s="2" t="n">
        <v>8</v>
      </c>
      <c r="H96" s="2" t="n">
        <v>12</v>
      </c>
      <c r="I96" s="2" t="s">
        <v>13</v>
      </c>
      <c r="J96" s="2" t="s">
        <v>16</v>
      </c>
      <c r="K96" s="2" t="n">
        <v>91.78</v>
      </c>
    </row>
    <row r="97" customFormat="false" ht="15" hidden="false" customHeight="false" outlineLevel="0" collapsed="false">
      <c r="A97" s="3" t="n">
        <v>96</v>
      </c>
      <c r="B97" s="3" t="n">
        <v>42</v>
      </c>
      <c r="C97" s="3" t="s">
        <v>11</v>
      </c>
      <c r="D97" s="3" t="s">
        <v>23</v>
      </c>
      <c r="E97" s="3" t="n">
        <v>38297</v>
      </c>
      <c r="F97" s="3" t="n">
        <v>3</v>
      </c>
      <c r="G97" s="3" t="n">
        <v>9</v>
      </c>
      <c r="H97" s="3" t="n">
        <v>6</v>
      </c>
      <c r="I97" s="3" t="s">
        <v>21</v>
      </c>
      <c r="J97" s="3" t="s">
        <v>16</v>
      </c>
      <c r="K97" s="3" t="n">
        <v>81.73</v>
      </c>
    </row>
    <row r="98" customFormat="false" ht="15" hidden="false" customHeight="false" outlineLevel="0" collapsed="false">
      <c r="A98" s="2" t="n">
        <v>97</v>
      </c>
      <c r="B98" s="2" t="n">
        <v>62</v>
      </c>
      <c r="C98" s="2" t="s">
        <v>17</v>
      </c>
      <c r="D98" s="2" t="s">
        <v>22</v>
      </c>
      <c r="E98" s="2" t="n">
        <v>87011</v>
      </c>
      <c r="F98" s="2" t="n">
        <v>4</v>
      </c>
      <c r="G98" s="2" t="n">
        <v>1</v>
      </c>
      <c r="H98" s="2" t="n">
        <v>10</v>
      </c>
      <c r="I98" s="2" t="s">
        <v>15</v>
      </c>
      <c r="J98" s="2" t="s">
        <v>16</v>
      </c>
      <c r="K98" s="2" t="n">
        <v>83.53</v>
      </c>
    </row>
    <row r="99" customFormat="false" ht="15" hidden="false" customHeight="false" outlineLevel="0" collapsed="false">
      <c r="A99" s="3" t="n">
        <v>98</v>
      </c>
      <c r="B99" s="3" t="n">
        <v>58</v>
      </c>
      <c r="C99" s="3" t="s">
        <v>17</v>
      </c>
      <c r="D99" s="3" t="s">
        <v>23</v>
      </c>
      <c r="E99" s="3" t="n">
        <v>114170</v>
      </c>
      <c r="F99" s="3" t="n">
        <v>1</v>
      </c>
      <c r="G99" s="3" t="n">
        <v>9</v>
      </c>
      <c r="H99" s="3" t="n">
        <v>13</v>
      </c>
      <c r="I99" s="3" t="s">
        <v>15</v>
      </c>
      <c r="J99" s="3" t="s">
        <v>16</v>
      </c>
      <c r="K99" s="3" t="n">
        <v>100</v>
      </c>
    </row>
    <row r="100" customFormat="false" ht="15" hidden="false" customHeight="false" outlineLevel="0" collapsed="false">
      <c r="A100" s="2" t="n">
        <v>99</v>
      </c>
      <c r="B100" s="2" t="n">
        <v>46</v>
      </c>
      <c r="C100" s="2" t="s">
        <v>11</v>
      </c>
      <c r="D100" s="2" t="s">
        <v>18</v>
      </c>
      <c r="E100" s="2" t="n">
        <v>51814</v>
      </c>
      <c r="F100" s="2" t="n">
        <v>5</v>
      </c>
      <c r="G100" s="2" t="n">
        <v>3</v>
      </c>
      <c r="H100" s="2" t="n">
        <v>2</v>
      </c>
      <c r="I100" s="2" t="s">
        <v>21</v>
      </c>
      <c r="J100" s="2" t="s">
        <v>16</v>
      </c>
      <c r="K100" s="2" t="n">
        <v>62.79</v>
      </c>
    </row>
    <row r="101" customFormat="false" ht="15" hidden="false" customHeight="false" outlineLevel="0" collapsed="false">
      <c r="A101" s="3" t="n">
        <v>100</v>
      </c>
      <c r="B101" s="3" t="n">
        <v>32</v>
      </c>
      <c r="C101" s="3" t="s">
        <v>17</v>
      </c>
      <c r="D101" s="3" t="s">
        <v>22</v>
      </c>
      <c r="E101" s="3" t="n">
        <v>48027</v>
      </c>
      <c r="F101" s="3" t="n">
        <v>8</v>
      </c>
      <c r="G101" s="3" t="n">
        <v>7</v>
      </c>
      <c r="H101" s="3" t="n">
        <v>6</v>
      </c>
      <c r="I101" s="3" t="s">
        <v>21</v>
      </c>
      <c r="J101" s="3" t="s">
        <v>16</v>
      </c>
      <c r="K101" s="3" t="n">
        <v>73.83</v>
      </c>
    </row>
    <row r="102" customFormat="false" ht="15" hidden="false" customHeight="false" outlineLevel="0" collapsed="false">
      <c r="A102" s="2" t="n">
        <v>101</v>
      </c>
      <c r="B102" s="2" t="n">
        <v>62</v>
      </c>
      <c r="C102" s="2" t="s">
        <v>17</v>
      </c>
      <c r="D102" s="2" t="s">
        <v>18</v>
      </c>
      <c r="E102" s="2" t="n">
        <v>84302</v>
      </c>
      <c r="F102" s="2" t="n">
        <v>6</v>
      </c>
      <c r="G102" s="2" t="n">
        <v>6</v>
      </c>
      <c r="H102" s="2" t="n">
        <v>17</v>
      </c>
      <c r="I102" s="2" t="s">
        <v>13</v>
      </c>
      <c r="J102" s="2" t="s">
        <v>14</v>
      </c>
      <c r="K102" s="2" t="n">
        <v>100</v>
      </c>
    </row>
    <row r="103" customFormat="false" ht="15" hidden="false" customHeight="false" outlineLevel="0" collapsed="false">
      <c r="A103" s="3" t="n">
        <v>102</v>
      </c>
      <c r="B103" s="3" t="n">
        <v>18</v>
      </c>
      <c r="C103" s="3" t="s">
        <v>11</v>
      </c>
      <c r="D103" s="3" t="s">
        <v>18</v>
      </c>
      <c r="E103" s="3" t="n">
        <v>73911</v>
      </c>
      <c r="F103" s="3" t="n">
        <v>3</v>
      </c>
      <c r="G103" s="3" t="n">
        <v>9</v>
      </c>
      <c r="H103" s="3" t="n">
        <v>13</v>
      </c>
      <c r="I103" s="3" t="s">
        <v>13</v>
      </c>
      <c r="J103" s="3" t="s">
        <v>16</v>
      </c>
      <c r="K103" s="3" t="n">
        <v>87.24</v>
      </c>
    </row>
    <row r="104" customFormat="false" ht="15" hidden="false" customHeight="false" outlineLevel="0" collapsed="false">
      <c r="A104" s="2" t="n">
        <v>103</v>
      </c>
      <c r="B104" s="2" t="n">
        <v>42</v>
      </c>
      <c r="C104" s="2" t="s">
        <v>17</v>
      </c>
      <c r="D104" s="2" t="s">
        <v>18</v>
      </c>
      <c r="E104" s="2" t="n">
        <v>42143</v>
      </c>
      <c r="F104" s="2" t="n">
        <v>4</v>
      </c>
      <c r="G104" s="2" t="n">
        <v>9</v>
      </c>
      <c r="H104" s="2" t="n">
        <v>14</v>
      </c>
      <c r="I104" s="2" t="s">
        <v>21</v>
      </c>
      <c r="J104" s="2" t="s">
        <v>16</v>
      </c>
      <c r="K104" s="2" t="n">
        <v>100</v>
      </c>
    </row>
    <row r="105" customFormat="false" ht="15" hidden="false" customHeight="false" outlineLevel="0" collapsed="false">
      <c r="A105" s="3" t="n">
        <v>104</v>
      </c>
      <c r="B105" s="3" t="n">
        <v>24</v>
      </c>
      <c r="C105" s="3" t="s">
        <v>11</v>
      </c>
      <c r="D105" s="3" t="s">
        <v>12</v>
      </c>
      <c r="E105" s="3" t="n">
        <v>109502</v>
      </c>
      <c r="F105" s="3" t="n">
        <v>5</v>
      </c>
      <c r="G105" s="3" t="n">
        <v>4</v>
      </c>
      <c r="H105" s="3" t="n">
        <v>11</v>
      </c>
      <c r="I105" s="3" t="s">
        <v>13</v>
      </c>
      <c r="J105" s="3" t="s">
        <v>16</v>
      </c>
      <c r="K105" s="3" t="n">
        <v>84.43</v>
      </c>
    </row>
    <row r="106" customFormat="false" ht="15" hidden="false" customHeight="false" outlineLevel="0" collapsed="false">
      <c r="A106" s="2" t="n">
        <v>105</v>
      </c>
      <c r="B106" s="2" t="n">
        <v>26</v>
      </c>
      <c r="C106" s="2" t="s">
        <v>11</v>
      </c>
      <c r="D106" s="2" t="s">
        <v>22</v>
      </c>
      <c r="E106" s="2" t="n">
        <v>78192</v>
      </c>
      <c r="F106" s="2" t="n">
        <v>5</v>
      </c>
      <c r="G106" s="2" t="n">
        <v>5</v>
      </c>
      <c r="H106" s="2" t="n">
        <v>11</v>
      </c>
      <c r="I106" s="2" t="s">
        <v>21</v>
      </c>
      <c r="J106" s="2" t="s">
        <v>19</v>
      </c>
      <c r="K106" s="2" t="n">
        <v>85.26</v>
      </c>
    </row>
    <row r="107" customFormat="false" ht="15" hidden="false" customHeight="false" outlineLevel="0" collapsed="false">
      <c r="A107" s="3" t="n">
        <v>106</v>
      </c>
      <c r="B107" s="3" t="n">
        <v>41</v>
      </c>
      <c r="C107" s="3" t="s">
        <v>11</v>
      </c>
      <c r="D107" s="3" t="s">
        <v>20</v>
      </c>
      <c r="E107" s="3" t="n">
        <v>92190</v>
      </c>
      <c r="F107" s="3" t="n">
        <v>2</v>
      </c>
      <c r="G107" s="3" t="n">
        <v>4</v>
      </c>
      <c r="H107" s="3" t="n">
        <v>8</v>
      </c>
      <c r="I107" s="3" t="s">
        <v>15</v>
      </c>
      <c r="J107" s="3" t="s">
        <v>16</v>
      </c>
      <c r="K107" s="3" t="n">
        <v>59.89</v>
      </c>
    </row>
    <row r="108" customFormat="false" ht="15" hidden="false" customHeight="false" outlineLevel="0" collapsed="false">
      <c r="A108" s="2" t="n">
        <v>107</v>
      </c>
      <c r="B108" s="2" t="n">
        <v>18</v>
      </c>
      <c r="C108" s="2" t="s">
        <v>11</v>
      </c>
      <c r="D108" s="2" t="s">
        <v>20</v>
      </c>
      <c r="E108" s="2" t="n">
        <v>79929</v>
      </c>
      <c r="F108" s="2" t="n">
        <v>3</v>
      </c>
      <c r="G108" s="2" t="n">
        <v>9</v>
      </c>
      <c r="H108" s="2" t="n">
        <v>9</v>
      </c>
      <c r="I108" s="2" t="s">
        <v>13</v>
      </c>
      <c r="J108" s="2" t="s">
        <v>14</v>
      </c>
      <c r="K108" s="2" t="n">
        <v>79.86</v>
      </c>
    </row>
    <row r="109" customFormat="false" ht="15" hidden="false" customHeight="false" outlineLevel="0" collapsed="false">
      <c r="A109" s="3" t="n">
        <v>108</v>
      </c>
      <c r="B109" s="3" t="n">
        <v>61</v>
      </c>
      <c r="C109" s="3" t="s">
        <v>11</v>
      </c>
      <c r="D109" s="3" t="s">
        <v>12</v>
      </c>
      <c r="E109" s="3" t="n">
        <v>40839</v>
      </c>
      <c r="F109" s="3" t="n">
        <v>10</v>
      </c>
      <c r="G109" s="3" t="n">
        <v>5</v>
      </c>
      <c r="H109" s="3" t="n">
        <v>8</v>
      </c>
      <c r="I109" s="3" t="s">
        <v>13</v>
      </c>
      <c r="J109" s="3" t="s">
        <v>16</v>
      </c>
      <c r="K109" s="3" t="n">
        <v>90.56</v>
      </c>
    </row>
    <row r="110" customFormat="false" ht="15" hidden="false" customHeight="false" outlineLevel="0" collapsed="false">
      <c r="A110" s="2" t="n">
        <v>109</v>
      </c>
      <c r="B110" s="2" t="n">
        <v>25</v>
      </c>
      <c r="C110" s="2" t="s">
        <v>11</v>
      </c>
      <c r="D110" s="2" t="s">
        <v>18</v>
      </c>
      <c r="E110" s="2" t="n">
        <v>110206</v>
      </c>
      <c r="F110" s="2" t="n">
        <v>8</v>
      </c>
      <c r="G110" s="2" t="n">
        <v>9</v>
      </c>
      <c r="H110" s="2" t="n">
        <v>2</v>
      </c>
      <c r="I110" s="2" t="s">
        <v>15</v>
      </c>
      <c r="J110" s="2" t="s">
        <v>14</v>
      </c>
      <c r="K110" s="2" t="n">
        <v>100</v>
      </c>
    </row>
    <row r="111" customFormat="false" ht="15" hidden="false" customHeight="false" outlineLevel="0" collapsed="false">
      <c r="A111" s="3" t="n">
        <v>110</v>
      </c>
      <c r="B111" s="3" t="n">
        <v>41</v>
      </c>
      <c r="C111" s="3" t="s">
        <v>11</v>
      </c>
      <c r="D111" s="3" t="s">
        <v>20</v>
      </c>
      <c r="E111" s="3" t="n">
        <v>87200</v>
      </c>
      <c r="F111" s="3" t="n">
        <v>1</v>
      </c>
      <c r="G111" s="3" t="n">
        <v>8</v>
      </c>
      <c r="H111" s="3" t="n">
        <v>7</v>
      </c>
      <c r="I111" s="3" t="s">
        <v>15</v>
      </c>
      <c r="J111" s="3" t="s">
        <v>14</v>
      </c>
      <c r="K111" s="3" t="n">
        <v>93.71</v>
      </c>
    </row>
    <row r="112" customFormat="false" ht="15" hidden="false" customHeight="false" outlineLevel="0" collapsed="false">
      <c r="A112" s="2" t="n">
        <v>111</v>
      </c>
      <c r="B112" s="2" t="n">
        <v>28</v>
      </c>
      <c r="C112" s="2" t="s">
        <v>17</v>
      </c>
      <c r="D112" s="2" t="s">
        <v>22</v>
      </c>
      <c r="E112" s="2" t="n">
        <v>49631</v>
      </c>
      <c r="F112" s="2" t="n">
        <v>4</v>
      </c>
      <c r="G112" s="2" t="n">
        <v>2</v>
      </c>
      <c r="H112" s="2" t="n">
        <v>19</v>
      </c>
      <c r="I112" s="2" t="s">
        <v>13</v>
      </c>
      <c r="J112" s="2" t="s">
        <v>16</v>
      </c>
      <c r="K112" s="2" t="n">
        <v>79.97</v>
      </c>
    </row>
    <row r="113" customFormat="false" ht="15" hidden="false" customHeight="false" outlineLevel="0" collapsed="false">
      <c r="A113" s="3" t="n">
        <v>112</v>
      </c>
      <c r="B113" s="3" t="n">
        <v>68</v>
      </c>
      <c r="C113" s="3" t="s">
        <v>11</v>
      </c>
      <c r="D113" s="3" t="s">
        <v>23</v>
      </c>
      <c r="E113" s="3" t="n">
        <v>112389</v>
      </c>
      <c r="F113" s="3" t="n">
        <v>2</v>
      </c>
      <c r="G113" s="3" t="n">
        <v>6</v>
      </c>
      <c r="H113" s="3" t="n">
        <v>3</v>
      </c>
      <c r="I113" s="3" t="s">
        <v>15</v>
      </c>
      <c r="J113" s="3" t="s">
        <v>14</v>
      </c>
      <c r="K113" s="3" t="n">
        <v>81.08</v>
      </c>
    </row>
    <row r="114" customFormat="false" ht="15" hidden="false" customHeight="false" outlineLevel="0" collapsed="false">
      <c r="A114" s="2" t="n">
        <v>113</v>
      </c>
      <c r="B114" s="2" t="n">
        <v>34</v>
      </c>
      <c r="C114" s="2" t="s">
        <v>17</v>
      </c>
      <c r="D114" s="2" t="s">
        <v>22</v>
      </c>
      <c r="E114" s="2" t="n">
        <v>67911</v>
      </c>
      <c r="F114" s="2" t="n">
        <v>9</v>
      </c>
      <c r="G114" s="2" t="n">
        <v>7</v>
      </c>
      <c r="H114" s="2" t="n">
        <v>6</v>
      </c>
      <c r="I114" s="2" t="s">
        <v>15</v>
      </c>
      <c r="J114" s="2" t="s">
        <v>16</v>
      </c>
      <c r="K114" s="2" t="n">
        <v>100</v>
      </c>
    </row>
    <row r="115" customFormat="false" ht="15" hidden="false" customHeight="false" outlineLevel="0" collapsed="false">
      <c r="A115" s="3" t="n">
        <v>114</v>
      </c>
      <c r="B115" s="3" t="n">
        <v>25</v>
      </c>
      <c r="C115" s="3" t="s">
        <v>17</v>
      </c>
      <c r="D115" s="3" t="s">
        <v>18</v>
      </c>
      <c r="E115" s="3" t="n">
        <v>35065</v>
      </c>
      <c r="F115" s="3" t="n">
        <v>7</v>
      </c>
      <c r="G115" s="3" t="n">
        <v>3</v>
      </c>
      <c r="H115" s="3" t="n">
        <v>13</v>
      </c>
      <c r="I115" s="3" t="s">
        <v>15</v>
      </c>
      <c r="J115" s="3" t="s">
        <v>19</v>
      </c>
      <c r="K115" s="3" t="n">
        <v>78.74</v>
      </c>
    </row>
    <row r="116" customFormat="false" ht="15" hidden="false" customHeight="false" outlineLevel="0" collapsed="false">
      <c r="A116" s="2" t="n">
        <v>115</v>
      </c>
      <c r="B116" s="2" t="n">
        <v>52</v>
      </c>
      <c r="C116" s="2" t="s">
        <v>11</v>
      </c>
      <c r="D116" s="2" t="s">
        <v>22</v>
      </c>
      <c r="E116" s="2" t="n">
        <v>72646</v>
      </c>
      <c r="F116" s="2" t="n">
        <v>6</v>
      </c>
      <c r="G116" s="2" t="n">
        <v>9</v>
      </c>
      <c r="H116" s="2" t="n">
        <v>16</v>
      </c>
      <c r="I116" s="2" t="s">
        <v>15</v>
      </c>
      <c r="J116" s="2" t="s">
        <v>16</v>
      </c>
      <c r="K116" s="2" t="n">
        <v>100</v>
      </c>
    </row>
    <row r="117" customFormat="false" ht="15" hidden="false" customHeight="false" outlineLevel="0" collapsed="false">
      <c r="A117" s="3" t="n">
        <v>116</v>
      </c>
      <c r="B117" s="3" t="n">
        <v>52</v>
      </c>
      <c r="C117" s="3" t="s">
        <v>17</v>
      </c>
      <c r="D117" s="3" t="s">
        <v>18</v>
      </c>
      <c r="E117" s="3" t="n">
        <v>39540</v>
      </c>
      <c r="F117" s="3" t="n">
        <v>4</v>
      </c>
      <c r="G117" s="3" t="n">
        <v>4</v>
      </c>
      <c r="H117" s="3" t="n">
        <v>20</v>
      </c>
      <c r="I117" s="3" t="s">
        <v>21</v>
      </c>
      <c r="J117" s="3" t="s">
        <v>16</v>
      </c>
      <c r="K117" s="3" t="n">
        <v>74.69</v>
      </c>
    </row>
    <row r="118" customFormat="false" ht="15" hidden="false" customHeight="false" outlineLevel="0" collapsed="false">
      <c r="A118" s="2" t="n">
        <v>117</v>
      </c>
      <c r="B118" s="2" t="n">
        <v>50</v>
      </c>
      <c r="C118" s="2" t="s">
        <v>11</v>
      </c>
      <c r="D118" s="2" t="s">
        <v>22</v>
      </c>
      <c r="E118" s="2" t="n">
        <v>106576</v>
      </c>
      <c r="F118" s="2" t="n">
        <v>1</v>
      </c>
      <c r="G118" s="2" t="n">
        <v>4</v>
      </c>
      <c r="H118" s="2" t="n">
        <v>10</v>
      </c>
      <c r="I118" s="2" t="s">
        <v>21</v>
      </c>
      <c r="J118" s="2" t="s">
        <v>19</v>
      </c>
      <c r="K118" s="2" t="n">
        <v>70.77</v>
      </c>
    </row>
    <row r="119" customFormat="false" ht="15" hidden="false" customHeight="false" outlineLevel="0" collapsed="false">
      <c r="A119" s="3" t="n">
        <v>118</v>
      </c>
      <c r="B119" s="3" t="n">
        <v>22</v>
      </c>
      <c r="C119" s="3" t="s">
        <v>11</v>
      </c>
      <c r="D119" s="3" t="s">
        <v>12</v>
      </c>
      <c r="E119" s="3" t="n">
        <v>68947</v>
      </c>
      <c r="F119" s="3" t="n">
        <v>9</v>
      </c>
      <c r="G119" s="3" t="n">
        <v>4</v>
      </c>
      <c r="H119" s="3" t="n">
        <v>6</v>
      </c>
      <c r="I119" s="3" t="s">
        <v>21</v>
      </c>
      <c r="J119" s="3" t="s">
        <v>19</v>
      </c>
      <c r="K119" s="3" t="n">
        <v>85.99</v>
      </c>
    </row>
    <row r="120" customFormat="false" ht="15" hidden="false" customHeight="false" outlineLevel="0" collapsed="false">
      <c r="A120" s="2" t="n">
        <v>119</v>
      </c>
      <c r="B120" s="2" t="n">
        <v>59</v>
      </c>
      <c r="C120" s="2" t="s">
        <v>11</v>
      </c>
      <c r="D120" s="2" t="s">
        <v>22</v>
      </c>
      <c r="E120" s="2" t="n">
        <v>114199</v>
      </c>
      <c r="F120" s="2" t="n">
        <v>3</v>
      </c>
      <c r="G120" s="2" t="n">
        <v>3</v>
      </c>
      <c r="H120" s="2" t="n">
        <v>1</v>
      </c>
      <c r="I120" s="2" t="s">
        <v>21</v>
      </c>
      <c r="J120" s="2" t="s">
        <v>19</v>
      </c>
      <c r="K120" s="2" t="n">
        <v>76.93</v>
      </c>
    </row>
    <row r="121" customFormat="false" ht="15" hidden="false" customHeight="false" outlineLevel="0" collapsed="false">
      <c r="A121" s="3" t="n">
        <v>120</v>
      </c>
      <c r="B121" s="3" t="n">
        <v>56</v>
      </c>
      <c r="C121" s="3" t="s">
        <v>11</v>
      </c>
      <c r="D121" s="3" t="s">
        <v>20</v>
      </c>
      <c r="E121" s="3" t="n">
        <v>96881</v>
      </c>
      <c r="F121" s="3" t="n">
        <v>3</v>
      </c>
      <c r="G121" s="3" t="n">
        <v>6</v>
      </c>
      <c r="H121" s="3" t="n">
        <v>17</v>
      </c>
      <c r="I121" s="3" t="s">
        <v>13</v>
      </c>
      <c r="J121" s="3" t="s">
        <v>19</v>
      </c>
      <c r="K121" s="3" t="n">
        <v>99.16</v>
      </c>
    </row>
    <row r="122" customFormat="false" ht="15" hidden="false" customHeight="false" outlineLevel="0" collapsed="false">
      <c r="A122" s="2" t="n">
        <v>121</v>
      </c>
      <c r="B122" s="2" t="n">
        <v>58</v>
      </c>
      <c r="C122" s="2" t="s">
        <v>11</v>
      </c>
      <c r="D122" s="2" t="s">
        <v>23</v>
      </c>
      <c r="E122" s="2" t="n">
        <v>114907</v>
      </c>
      <c r="F122" s="2" t="n">
        <v>6</v>
      </c>
      <c r="G122" s="2" t="n">
        <v>9</v>
      </c>
      <c r="H122" s="2" t="n">
        <v>14</v>
      </c>
      <c r="I122" s="2" t="s">
        <v>13</v>
      </c>
      <c r="J122" s="2" t="s">
        <v>16</v>
      </c>
      <c r="K122" s="2" t="n">
        <v>97.81</v>
      </c>
    </row>
    <row r="123" customFormat="false" ht="15" hidden="false" customHeight="false" outlineLevel="0" collapsed="false">
      <c r="A123" s="3" t="n">
        <v>122</v>
      </c>
      <c r="B123" s="3" t="n">
        <v>45</v>
      </c>
      <c r="C123" s="3" t="s">
        <v>11</v>
      </c>
      <c r="D123" s="3" t="s">
        <v>12</v>
      </c>
      <c r="E123" s="3" t="n">
        <v>106990</v>
      </c>
      <c r="F123" s="3" t="n">
        <v>6</v>
      </c>
      <c r="G123" s="3" t="n">
        <v>6</v>
      </c>
      <c r="H123" s="3" t="n">
        <v>17</v>
      </c>
      <c r="I123" s="3" t="s">
        <v>21</v>
      </c>
      <c r="J123" s="3" t="s">
        <v>19</v>
      </c>
      <c r="K123" s="3" t="n">
        <v>100</v>
      </c>
    </row>
    <row r="124" customFormat="false" ht="15" hidden="false" customHeight="false" outlineLevel="0" collapsed="false">
      <c r="A124" s="2" t="n">
        <v>123</v>
      </c>
      <c r="B124" s="2" t="n">
        <v>24</v>
      </c>
      <c r="C124" s="2" t="s">
        <v>17</v>
      </c>
      <c r="D124" s="2" t="s">
        <v>22</v>
      </c>
      <c r="E124" s="2" t="n">
        <v>31196</v>
      </c>
      <c r="F124" s="2" t="n">
        <v>4</v>
      </c>
      <c r="G124" s="2" t="n">
        <v>2</v>
      </c>
      <c r="H124" s="2" t="n">
        <v>3</v>
      </c>
      <c r="I124" s="2" t="s">
        <v>15</v>
      </c>
      <c r="J124" s="2" t="s">
        <v>16</v>
      </c>
      <c r="K124" s="2" t="n">
        <v>63.03</v>
      </c>
    </row>
    <row r="125" customFormat="false" ht="15" hidden="false" customHeight="false" outlineLevel="0" collapsed="false">
      <c r="A125" s="3" t="n">
        <v>124</v>
      </c>
      <c r="B125" s="3" t="n">
        <v>26</v>
      </c>
      <c r="C125" s="3" t="s">
        <v>17</v>
      </c>
      <c r="D125" s="3" t="s">
        <v>18</v>
      </c>
      <c r="E125" s="3" t="n">
        <v>93460</v>
      </c>
      <c r="F125" s="3" t="n">
        <v>5</v>
      </c>
      <c r="G125" s="3" t="n">
        <v>7</v>
      </c>
      <c r="H125" s="3" t="n">
        <v>4</v>
      </c>
      <c r="I125" s="3" t="s">
        <v>13</v>
      </c>
      <c r="J125" s="3" t="s">
        <v>14</v>
      </c>
      <c r="K125" s="3" t="n">
        <v>99.76</v>
      </c>
    </row>
    <row r="126" customFormat="false" ht="15" hidden="false" customHeight="false" outlineLevel="0" collapsed="false">
      <c r="A126" s="2" t="n">
        <v>125</v>
      </c>
      <c r="B126" s="2" t="n">
        <v>25</v>
      </c>
      <c r="C126" s="2" t="s">
        <v>17</v>
      </c>
      <c r="D126" s="2" t="s">
        <v>12</v>
      </c>
      <c r="E126" s="2" t="n">
        <v>60328</v>
      </c>
      <c r="F126" s="2" t="n">
        <v>5</v>
      </c>
      <c r="G126" s="2" t="n">
        <v>8</v>
      </c>
      <c r="H126" s="2" t="n">
        <v>1</v>
      </c>
      <c r="I126" s="2" t="s">
        <v>13</v>
      </c>
      <c r="J126" s="2" t="s">
        <v>19</v>
      </c>
      <c r="K126" s="2" t="n">
        <v>79.87</v>
      </c>
    </row>
    <row r="127" customFormat="false" ht="15" hidden="false" customHeight="false" outlineLevel="0" collapsed="false">
      <c r="A127" s="3" t="n">
        <v>126</v>
      </c>
      <c r="B127" s="3" t="n">
        <v>29</v>
      </c>
      <c r="C127" s="3" t="s">
        <v>17</v>
      </c>
      <c r="D127" s="3" t="s">
        <v>20</v>
      </c>
      <c r="E127" s="3" t="n">
        <v>91303</v>
      </c>
      <c r="F127" s="3" t="n">
        <v>6</v>
      </c>
      <c r="G127" s="3" t="n">
        <v>9</v>
      </c>
      <c r="H127" s="3" t="n">
        <v>10</v>
      </c>
      <c r="I127" s="3" t="s">
        <v>21</v>
      </c>
      <c r="J127" s="3" t="s">
        <v>16</v>
      </c>
      <c r="K127" s="3" t="n">
        <v>100</v>
      </c>
    </row>
    <row r="128" customFormat="false" ht="15" hidden="false" customHeight="false" outlineLevel="0" collapsed="false">
      <c r="A128" s="2" t="n">
        <v>127</v>
      </c>
      <c r="B128" s="2" t="n">
        <v>51</v>
      </c>
      <c r="C128" s="2" t="s">
        <v>17</v>
      </c>
      <c r="D128" s="2" t="s">
        <v>23</v>
      </c>
      <c r="E128" s="2" t="n">
        <v>52193</v>
      </c>
      <c r="F128" s="2" t="n">
        <v>3</v>
      </c>
      <c r="G128" s="2" t="n">
        <v>3</v>
      </c>
      <c r="H128" s="2" t="n">
        <v>9</v>
      </c>
      <c r="I128" s="2" t="s">
        <v>21</v>
      </c>
      <c r="J128" s="2" t="s">
        <v>19</v>
      </c>
      <c r="K128" s="2" t="n">
        <v>68.52</v>
      </c>
    </row>
    <row r="129" customFormat="false" ht="15" hidden="false" customHeight="false" outlineLevel="0" collapsed="false">
      <c r="A129" s="3" t="n">
        <v>128</v>
      </c>
      <c r="B129" s="3" t="n">
        <v>50</v>
      </c>
      <c r="C129" s="3" t="s">
        <v>11</v>
      </c>
      <c r="D129" s="3" t="s">
        <v>23</v>
      </c>
      <c r="E129" s="3" t="n">
        <v>72818</v>
      </c>
      <c r="F129" s="3" t="n">
        <v>9</v>
      </c>
      <c r="G129" s="3" t="n">
        <v>9</v>
      </c>
      <c r="H129" s="3" t="n">
        <v>14</v>
      </c>
      <c r="I129" s="3" t="s">
        <v>13</v>
      </c>
      <c r="J129" s="3" t="s">
        <v>19</v>
      </c>
      <c r="K129" s="3" t="n">
        <v>100</v>
      </c>
    </row>
    <row r="130" customFormat="false" ht="15" hidden="false" customHeight="false" outlineLevel="0" collapsed="false">
      <c r="A130" s="2" t="n">
        <v>129</v>
      </c>
      <c r="B130" s="2" t="n">
        <v>65</v>
      </c>
      <c r="C130" s="2" t="s">
        <v>17</v>
      </c>
      <c r="D130" s="2" t="s">
        <v>22</v>
      </c>
      <c r="E130" s="2" t="n">
        <v>73862</v>
      </c>
      <c r="F130" s="2" t="n">
        <v>7</v>
      </c>
      <c r="G130" s="2" t="n">
        <v>6</v>
      </c>
      <c r="H130" s="2" t="n">
        <v>13</v>
      </c>
      <c r="I130" s="2" t="s">
        <v>15</v>
      </c>
      <c r="J130" s="2" t="s">
        <v>16</v>
      </c>
      <c r="K130" s="2" t="n">
        <v>100</v>
      </c>
    </row>
    <row r="131" customFormat="false" ht="15" hidden="false" customHeight="false" outlineLevel="0" collapsed="false">
      <c r="A131" s="3" t="n">
        <v>130</v>
      </c>
      <c r="B131" s="3" t="n">
        <v>40</v>
      </c>
      <c r="C131" s="3" t="s">
        <v>11</v>
      </c>
      <c r="D131" s="3" t="s">
        <v>20</v>
      </c>
      <c r="E131" s="3" t="n">
        <v>61460</v>
      </c>
      <c r="F131" s="3" t="n">
        <v>4</v>
      </c>
      <c r="G131" s="3" t="n">
        <v>10</v>
      </c>
      <c r="H131" s="3" t="n">
        <v>8</v>
      </c>
      <c r="I131" s="3" t="s">
        <v>13</v>
      </c>
      <c r="J131" s="3" t="s">
        <v>14</v>
      </c>
      <c r="K131" s="3" t="n">
        <v>85.23</v>
      </c>
    </row>
    <row r="132" customFormat="false" ht="15" hidden="false" customHeight="false" outlineLevel="0" collapsed="false">
      <c r="A132" s="2" t="n">
        <v>131</v>
      </c>
      <c r="B132" s="2" t="n">
        <v>41</v>
      </c>
      <c r="C132" s="2" t="s">
        <v>11</v>
      </c>
      <c r="D132" s="2" t="s">
        <v>20</v>
      </c>
      <c r="E132" s="2" t="n">
        <v>40368</v>
      </c>
      <c r="F132" s="2" t="n">
        <v>3</v>
      </c>
      <c r="G132" s="2" t="n">
        <v>7</v>
      </c>
      <c r="H132" s="2" t="n">
        <v>8</v>
      </c>
      <c r="I132" s="2" t="s">
        <v>15</v>
      </c>
      <c r="J132" s="2" t="s">
        <v>14</v>
      </c>
      <c r="K132" s="2" t="n">
        <v>72.15</v>
      </c>
    </row>
    <row r="133" customFormat="false" ht="15" hidden="false" customHeight="false" outlineLevel="0" collapsed="false">
      <c r="A133" s="3" t="n">
        <v>132</v>
      </c>
      <c r="B133" s="3" t="n">
        <v>54</v>
      </c>
      <c r="C133" s="3" t="s">
        <v>11</v>
      </c>
      <c r="D133" s="3" t="s">
        <v>23</v>
      </c>
      <c r="E133" s="3" t="n">
        <v>95265</v>
      </c>
      <c r="F133" s="3" t="n">
        <v>10</v>
      </c>
      <c r="G133" s="3" t="n">
        <v>1</v>
      </c>
      <c r="H133" s="3" t="n">
        <v>5</v>
      </c>
      <c r="I133" s="3" t="s">
        <v>21</v>
      </c>
      <c r="J133" s="3" t="s">
        <v>14</v>
      </c>
      <c r="K133" s="3" t="n">
        <v>96.28</v>
      </c>
    </row>
    <row r="134" customFormat="false" ht="15" hidden="false" customHeight="false" outlineLevel="0" collapsed="false">
      <c r="A134" s="2" t="n">
        <v>133</v>
      </c>
      <c r="B134" s="2" t="n">
        <v>52</v>
      </c>
      <c r="C134" s="2" t="s">
        <v>11</v>
      </c>
      <c r="D134" s="2" t="s">
        <v>23</v>
      </c>
      <c r="E134" s="2" t="n">
        <v>33910</v>
      </c>
      <c r="F134" s="2" t="n">
        <v>7</v>
      </c>
      <c r="G134" s="2" t="n">
        <v>9</v>
      </c>
      <c r="H134" s="2" t="n">
        <v>16</v>
      </c>
      <c r="I134" s="2" t="s">
        <v>13</v>
      </c>
      <c r="J134" s="2" t="s">
        <v>19</v>
      </c>
      <c r="K134" s="2" t="n">
        <v>100</v>
      </c>
    </row>
    <row r="135" customFormat="false" ht="15" hidden="false" customHeight="false" outlineLevel="0" collapsed="false">
      <c r="A135" s="3" t="n">
        <v>134</v>
      </c>
      <c r="B135" s="3" t="n">
        <v>61</v>
      </c>
      <c r="C135" s="3" t="s">
        <v>11</v>
      </c>
      <c r="D135" s="3" t="s">
        <v>20</v>
      </c>
      <c r="E135" s="3" t="n">
        <v>112935</v>
      </c>
      <c r="F135" s="3" t="n">
        <v>5</v>
      </c>
      <c r="G135" s="3" t="n">
        <v>3</v>
      </c>
      <c r="H135" s="3" t="n">
        <v>19</v>
      </c>
      <c r="I135" s="3" t="s">
        <v>15</v>
      </c>
      <c r="J135" s="3" t="s">
        <v>14</v>
      </c>
      <c r="K135" s="3" t="n">
        <v>89.43</v>
      </c>
    </row>
    <row r="136" customFormat="false" ht="15" hidden="false" customHeight="false" outlineLevel="0" collapsed="false">
      <c r="A136" s="2" t="n">
        <v>135</v>
      </c>
      <c r="B136" s="2" t="n">
        <v>57</v>
      </c>
      <c r="C136" s="2" t="s">
        <v>11</v>
      </c>
      <c r="D136" s="2" t="s">
        <v>23</v>
      </c>
      <c r="E136" s="2" t="n">
        <v>77042</v>
      </c>
      <c r="F136" s="2" t="n">
        <v>2</v>
      </c>
      <c r="G136" s="2" t="n">
        <v>2</v>
      </c>
      <c r="H136" s="2" t="n">
        <v>8</v>
      </c>
      <c r="I136" s="2" t="s">
        <v>15</v>
      </c>
      <c r="J136" s="2" t="s">
        <v>16</v>
      </c>
      <c r="K136" s="2" t="n">
        <v>51.15</v>
      </c>
    </row>
    <row r="137" customFormat="false" ht="15" hidden="false" customHeight="false" outlineLevel="0" collapsed="false">
      <c r="A137" s="3" t="n">
        <v>136</v>
      </c>
      <c r="B137" s="3" t="n">
        <v>39</v>
      </c>
      <c r="C137" s="3" t="s">
        <v>11</v>
      </c>
      <c r="D137" s="3" t="s">
        <v>18</v>
      </c>
      <c r="E137" s="3" t="n">
        <v>115074</v>
      </c>
      <c r="F137" s="3" t="n">
        <v>6</v>
      </c>
      <c r="G137" s="3" t="n">
        <v>9</v>
      </c>
      <c r="H137" s="3" t="n">
        <v>13</v>
      </c>
      <c r="I137" s="3" t="s">
        <v>21</v>
      </c>
      <c r="J137" s="3" t="s">
        <v>19</v>
      </c>
      <c r="K137" s="3" t="n">
        <v>100</v>
      </c>
    </row>
    <row r="138" customFormat="false" ht="15" hidden="false" customHeight="false" outlineLevel="0" collapsed="false">
      <c r="A138" s="2" t="n">
        <v>137</v>
      </c>
      <c r="B138" s="2" t="n">
        <v>44</v>
      </c>
      <c r="C138" s="2" t="s">
        <v>17</v>
      </c>
      <c r="D138" s="2" t="s">
        <v>23</v>
      </c>
      <c r="E138" s="2" t="n">
        <v>51341</v>
      </c>
      <c r="F138" s="2" t="n">
        <v>3</v>
      </c>
      <c r="G138" s="2" t="n">
        <v>3</v>
      </c>
      <c r="H138" s="2" t="n">
        <v>4</v>
      </c>
      <c r="I138" s="2" t="s">
        <v>21</v>
      </c>
      <c r="J138" s="2" t="s">
        <v>16</v>
      </c>
      <c r="K138" s="2" t="n">
        <v>57.98</v>
      </c>
    </row>
    <row r="139" customFormat="false" ht="15" hidden="false" customHeight="false" outlineLevel="0" collapsed="false">
      <c r="A139" s="3" t="n">
        <v>138</v>
      </c>
      <c r="B139" s="3" t="n">
        <v>52</v>
      </c>
      <c r="C139" s="3" t="s">
        <v>11</v>
      </c>
      <c r="D139" s="3" t="s">
        <v>18</v>
      </c>
      <c r="E139" s="3" t="n">
        <v>104888</v>
      </c>
      <c r="F139" s="3" t="n">
        <v>7</v>
      </c>
      <c r="G139" s="3" t="n">
        <v>7</v>
      </c>
      <c r="H139" s="3" t="n">
        <v>20</v>
      </c>
      <c r="I139" s="3" t="s">
        <v>13</v>
      </c>
      <c r="J139" s="3" t="s">
        <v>14</v>
      </c>
      <c r="K139" s="3" t="n">
        <v>100</v>
      </c>
    </row>
    <row r="140" customFormat="false" ht="15" hidden="false" customHeight="false" outlineLevel="0" collapsed="false">
      <c r="A140" s="2" t="n">
        <v>139</v>
      </c>
      <c r="B140" s="2" t="n">
        <v>18</v>
      </c>
      <c r="C140" s="2" t="s">
        <v>11</v>
      </c>
      <c r="D140" s="2" t="s">
        <v>23</v>
      </c>
      <c r="E140" s="2" t="n">
        <v>45970</v>
      </c>
      <c r="F140" s="2" t="n">
        <v>10</v>
      </c>
      <c r="G140" s="2" t="n">
        <v>3</v>
      </c>
      <c r="H140" s="2" t="n">
        <v>15</v>
      </c>
      <c r="I140" s="2" t="s">
        <v>15</v>
      </c>
      <c r="J140" s="2" t="s">
        <v>14</v>
      </c>
      <c r="K140" s="2" t="n">
        <v>88.63</v>
      </c>
    </row>
    <row r="141" customFormat="false" ht="15" hidden="false" customHeight="false" outlineLevel="0" collapsed="false">
      <c r="A141" s="3" t="n">
        <v>140</v>
      </c>
      <c r="B141" s="3" t="n">
        <v>52</v>
      </c>
      <c r="C141" s="3" t="s">
        <v>17</v>
      </c>
      <c r="D141" s="3" t="s">
        <v>12</v>
      </c>
      <c r="E141" s="3" t="n">
        <v>46546</v>
      </c>
      <c r="F141" s="3" t="n">
        <v>5</v>
      </c>
      <c r="G141" s="3" t="n">
        <v>2</v>
      </c>
      <c r="H141" s="3" t="n">
        <v>12</v>
      </c>
      <c r="I141" s="3" t="s">
        <v>15</v>
      </c>
      <c r="J141" s="3" t="s">
        <v>16</v>
      </c>
      <c r="K141" s="3" t="n">
        <v>77.78</v>
      </c>
    </row>
    <row r="142" customFormat="false" ht="15" hidden="false" customHeight="false" outlineLevel="0" collapsed="false">
      <c r="A142" s="2" t="n">
        <v>141</v>
      </c>
      <c r="B142" s="2" t="n">
        <v>54</v>
      </c>
      <c r="C142" s="2" t="s">
        <v>17</v>
      </c>
      <c r="D142" s="2" t="s">
        <v>12</v>
      </c>
      <c r="E142" s="2" t="n">
        <v>60860</v>
      </c>
      <c r="F142" s="2" t="n">
        <v>7</v>
      </c>
      <c r="G142" s="2" t="n">
        <v>9</v>
      </c>
      <c r="H142" s="2" t="n">
        <v>4</v>
      </c>
      <c r="I142" s="2" t="s">
        <v>13</v>
      </c>
      <c r="J142" s="2" t="s">
        <v>14</v>
      </c>
      <c r="K142" s="2" t="n">
        <v>100</v>
      </c>
    </row>
    <row r="143" customFormat="false" ht="15" hidden="false" customHeight="false" outlineLevel="0" collapsed="false">
      <c r="A143" s="3" t="n">
        <v>142</v>
      </c>
      <c r="B143" s="3" t="n">
        <v>64</v>
      </c>
      <c r="C143" s="3" t="s">
        <v>11</v>
      </c>
      <c r="D143" s="3" t="s">
        <v>12</v>
      </c>
      <c r="E143" s="3" t="n">
        <v>51145</v>
      </c>
      <c r="F143" s="3" t="n">
        <v>4</v>
      </c>
      <c r="G143" s="3" t="n">
        <v>3</v>
      </c>
      <c r="H143" s="3" t="n">
        <v>17</v>
      </c>
      <c r="I143" s="3" t="s">
        <v>21</v>
      </c>
      <c r="J143" s="3" t="s">
        <v>16</v>
      </c>
      <c r="K143" s="3" t="n">
        <v>92.42</v>
      </c>
    </row>
    <row r="144" customFormat="false" ht="15" hidden="false" customHeight="false" outlineLevel="0" collapsed="false">
      <c r="A144" s="2" t="n">
        <v>143</v>
      </c>
      <c r="B144" s="2" t="n">
        <v>31</v>
      </c>
      <c r="C144" s="2" t="s">
        <v>17</v>
      </c>
      <c r="D144" s="2" t="s">
        <v>18</v>
      </c>
      <c r="E144" s="2" t="n">
        <v>67042</v>
      </c>
      <c r="F144" s="2" t="n">
        <v>1</v>
      </c>
      <c r="G144" s="2" t="n">
        <v>1</v>
      </c>
      <c r="H144" s="2" t="n">
        <v>9</v>
      </c>
      <c r="I144" s="2" t="s">
        <v>21</v>
      </c>
      <c r="J144" s="2" t="s">
        <v>19</v>
      </c>
      <c r="K144" s="2" t="n">
        <v>26.67</v>
      </c>
    </row>
    <row r="145" customFormat="false" ht="15" hidden="false" customHeight="false" outlineLevel="0" collapsed="false">
      <c r="A145" s="3" t="n">
        <v>144</v>
      </c>
      <c r="B145" s="3" t="n">
        <v>20</v>
      </c>
      <c r="C145" s="3" t="s">
        <v>11</v>
      </c>
      <c r="D145" s="3" t="s">
        <v>18</v>
      </c>
      <c r="E145" s="3" t="n">
        <v>65992</v>
      </c>
      <c r="F145" s="3" t="n">
        <v>1</v>
      </c>
      <c r="G145" s="3" t="n">
        <v>9</v>
      </c>
      <c r="H145" s="3" t="n">
        <v>20</v>
      </c>
      <c r="I145" s="3" t="s">
        <v>15</v>
      </c>
      <c r="J145" s="3" t="s">
        <v>14</v>
      </c>
      <c r="K145" s="3" t="n">
        <v>78.83</v>
      </c>
    </row>
    <row r="146" customFormat="false" ht="15" hidden="false" customHeight="false" outlineLevel="0" collapsed="false">
      <c r="A146" s="2" t="n">
        <v>145</v>
      </c>
      <c r="B146" s="2" t="n">
        <v>18</v>
      </c>
      <c r="C146" s="2" t="s">
        <v>11</v>
      </c>
      <c r="D146" s="2" t="s">
        <v>22</v>
      </c>
      <c r="E146" s="2" t="n">
        <v>103510</v>
      </c>
      <c r="F146" s="2" t="n">
        <v>7</v>
      </c>
      <c r="G146" s="2" t="n">
        <v>3</v>
      </c>
      <c r="H146" s="2" t="n">
        <v>15</v>
      </c>
      <c r="I146" s="2" t="s">
        <v>21</v>
      </c>
      <c r="J146" s="2" t="s">
        <v>14</v>
      </c>
      <c r="K146" s="2" t="n">
        <v>83.59</v>
      </c>
    </row>
    <row r="147" customFormat="false" ht="15" hidden="false" customHeight="false" outlineLevel="0" collapsed="false">
      <c r="A147" s="3" t="n">
        <v>146</v>
      </c>
      <c r="B147" s="3" t="n">
        <v>22</v>
      </c>
      <c r="C147" s="3" t="s">
        <v>11</v>
      </c>
      <c r="D147" s="3" t="s">
        <v>22</v>
      </c>
      <c r="E147" s="3" t="n">
        <v>42746</v>
      </c>
      <c r="F147" s="3" t="n">
        <v>9</v>
      </c>
      <c r="G147" s="3" t="n">
        <v>4</v>
      </c>
      <c r="H147" s="3" t="n">
        <v>7</v>
      </c>
      <c r="I147" s="3" t="s">
        <v>13</v>
      </c>
      <c r="J147" s="3" t="s">
        <v>19</v>
      </c>
      <c r="K147" s="3" t="n">
        <v>97.22</v>
      </c>
    </row>
    <row r="148" customFormat="false" ht="15" hidden="false" customHeight="false" outlineLevel="0" collapsed="false">
      <c r="A148" s="2" t="n">
        <v>147</v>
      </c>
      <c r="B148" s="2" t="n">
        <v>43</v>
      </c>
      <c r="C148" s="2" t="s">
        <v>11</v>
      </c>
      <c r="D148" s="2" t="s">
        <v>23</v>
      </c>
      <c r="E148" s="2" t="n">
        <v>101133</v>
      </c>
      <c r="F148" s="2" t="n">
        <v>6</v>
      </c>
      <c r="G148" s="2" t="n">
        <v>3</v>
      </c>
      <c r="H148" s="2" t="n">
        <v>9</v>
      </c>
      <c r="I148" s="2" t="s">
        <v>13</v>
      </c>
      <c r="J148" s="2" t="s">
        <v>19</v>
      </c>
      <c r="K148" s="2" t="n">
        <v>77.17</v>
      </c>
    </row>
    <row r="149" customFormat="false" ht="15" hidden="false" customHeight="false" outlineLevel="0" collapsed="false">
      <c r="A149" s="3" t="n">
        <v>148</v>
      </c>
      <c r="B149" s="3" t="n">
        <v>31</v>
      </c>
      <c r="C149" s="3" t="s">
        <v>17</v>
      </c>
      <c r="D149" s="3" t="s">
        <v>18</v>
      </c>
      <c r="E149" s="3" t="n">
        <v>61284</v>
      </c>
      <c r="F149" s="3" t="n">
        <v>3</v>
      </c>
      <c r="G149" s="3" t="n">
        <v>2</v>
      </c>
      <c r="H149" s="3" t="n">
        <v>13</v>
      </c>
      <c r="I149" s="3" t="s">
        <v>21</v>
      </c>
      <c r="J149" s="3" t="s">
        <v>16</v>
      </c>
      <c r="K149" s="3" t="n">
        <v>51.81</v>
      </c>
    </row>
    <row r="150" customFormat="false" ht="15" hidden="false" customHeight="false" outlineLevel="0" collapsed="false">
      <c r="A150" s="2" t="n">
        <v>149</v>
      </c>
      <c r="B150" s="2" t="n">
        <v>56</v>
      </c>
      <c r="C150" s="2" t="s">
        <v>17</v>
      </c>
      <c r="D150" s="2" t="s">
        <v>12</v>
      </c>
      <c r="E150" s="2" t="n">
        <v>117613</v>
      </c>
      <c r="F150" s="2" t="n">
        <v>9</v>
      </c>
      <c r="G150" s="2" t="n">
        <v>9</v>
      </c>
      <c r="H150" s="2" t="n">
        <v>9</v>
      </c>
      <c r="I150" s="2" t="s">
        <v>15</v>
      </c>
      <c r="J150" s="2" t="s">
        <v>19</v>
      </c>
      <c r="K150" s="2" t="n">
        <v>100</v>
      </c>
    </row>
    <row r="151" customFormat="false" ht="15" hidden="false" customHeight="false" outlineLevel="0" collapsed="false">
      <c r="A151" s="3" t="n">
        <v>150</v>
      </c>
      <c r="B151" s="3" t="n">
        <v>44</v>
      </c>
      <c r="C151" s="3" t="s">
        <v>17</v>
      </c>
      <c r="D151" s="3" t="s">
        <v>12</v>
      </c>
      <c r="E151" s="3" t="n">
        <v>44440</v>
      </c>
      <c r="F151" s="3" t="n">
        <v>9</v>
      </c>
      <c r="G151" s="3" t="n">
        <v>1</v>
      </c>
      <c r="H151" s="3" t="n">
        <v>5</v>
      </c>
      <c r="I151" s="3" t="s">
        <v>15</v>
      </c>
      <c r="J151" s="3" t="s">
        <v>19</v>
      </c>
      <c r="K151" s="3" t="n">
        <v>73.83</v>
      </c>
    </row>
    <row r="152" customFormat="false" ht="15" hidden="false" customHeight="false" outlineLevel="0" collapsed="false">
      <c r="A152" s="2" t="n">
        <v>151</v>
      </c>
      <c r="B152" s="2" t="n">
        <v>26</v>
      </c>
      <c r="C152" s="2" t="s">
        <v>11</v>
      </c>
      <c r="D152" s="2" t="s">
        <v>12</v>
      </c>
      <c r="E152" s="2" t="n">
        <v>75022</v>
      </c>
      <c r="F152" s="2" t="n">
        <v>1</v>
      </c>
      <c r="G152" s="2" t="n">
        <v>7</v>
      </c>
      <c r="H152" s="2" t="n">
        <v>12</v>
      </c>
      <c r="I152" s="2" t="s">
        <v>13</v>
      </c>
      <c r="J152" s="2" t="s">
        <v>16</v>
      </c>
      <c r="K152" s="2" t="n">
        <v>55.71</v>
      </c>
    </row>
    <row r="153" customFormat="false" ht="15" hidden="false" customHeight="false" outlineLevel="0" collapsed="false">
      <c r="A153" s="3" t="n">
        <v>152</v>
      </c>
      <c r="B153" s="3" t="n">
        <v>32</v>
      </c>
      <c r="C153" s="3" t="s">
        <v>11</v>
      </c>
      <c r="D153" s="3" t="s">
        <v>23</v>
      </c>
      <c r="E153" s="3" t="n">
        <v>96759</v>
      </c>
      <c r="F153" s="3" t="n">
        <v>10</v>
      </c>
      <c r="G153" s="3" t="n">
        <v>1</v>
      </c>
      <c r="H153" s="3" t="n">
        <v>9</v>
      </c>
      <c r="I153" s="3" t="s">
        <v>15</v>
      </c>
      <c r="J153" s="3" t="s">
        <v>19</v>
      </c>
      <c r="K153" s="3" t="n">
        <v>89.27</v>
      </c>
    </row>
    <row r="154" customFormat="false" ht="15" hidden="false" customHeight="false" outlineLevel="0" collapsed="false">
      <c r="A154" s="2" t="n">
        <v>153</v>
      </c>
      <c r="B154" s="2" t="n">
        <v>32</v>
      </c>
      <c r="C154" s="2" t="s">
        <v>17</v>
      </c>
      <c r="D154" s="2" t="s">
        <v>18</v>
      </c>
      <c r="E154" s="2" t="n">
        <v>114282</v>
      </c>
      <c r="F154" s="2" t="n">
        <v>5</v>
      </c>
      <c r="G154" s="2" t="n">
        <v>2</v>
      </c>
      <c r="H154" s="2" t="n">
        <v>15</v>
      </c>
      <c r="I154" s="2" t="s">
        <v>21</v>
      </c>
      <c r="J154" s="2" t="s">
        <v>14</v>
      </c>
      <c r="K154" s="2" t="n">
        <v>88.23</v>
      </c>
    </row>
    <row r="155" customFormat="false" ht="15" hidden="false" customHeight="false" outlineLevel="0" collapsed="false">
      <c r="A155" s="3" t="n">
        <v>154</v>
      </c>
      <c r="B155" s="3" t="n">
        <v>43</v>
      </c>
      <c r="C155" s="3" t="s">
        <v>17</v>
      </c>
      <c r="D155" s="3" t="s">
        <v>23</v>
      </c>
      <c r="E155" s="3" t="n">
        <v>91845</v>
      </c>
      <c r="F155" s="3" t="n">
        <v>3</v>
      </c>
      <c r="G155" s="3" t="n">
        <v>4</v>
      </c>
      <c r="H155" s="3" t="n">
        <v>11</v>
      </c>
      <c r="I155" s="3" t="s">
        <v>15</v>
      </c>
      <c r="J155" s="3" t="s">
        <v>16</v>
      </c>
      <c r="K155" s="3" t="n">
        <v>70.78</v>
      </c>
    </row>
    <row r="156" customFormat="false" ht="15" hidden="false" customHeight="false" outlineLevel="0" collapsed="false">
      <c r="A156" s="2" t="n">
        <v>155</v>
      </c>
      <c r="B156" s="2" t="n">
        <v>59</v>
      </c>
      <c r="C156" s="2" t="s">
        <v>11</v>
      </c>
      <c r="D156" s="2" t="s">
        <v>20</v>
      </c>
      <c r="E156" s="2" t="n">
        <v>104405</v>
      </c>
      <c r="F156" s="2" t="n">
        <v>9</v>
      </c>
      <c r="G156" s="2" t="n">
        <v>3</v>
      </c>
      <c r="H156" s="2" t="n">
        <v>16</v>
      </c>
      <c r="I156" s="2" t="s">
        <v>13</v>
      </c>
      <c r="J156" s="2" t="s">
        <v>16</v>
      </c>
      <c r="K156" s="2" t="n">
        <v>100</v>
      </c>
    </row>
    <row r="157" customFormat="false" ht="15" hidden="false" customHeight="false" outlineLevel="0" collapsed="false">
      <c r="A157" s="3" t="n">
        <v>156</v>
      </c>
      <c r="B157" s="3" t="n">
        <v>30</v>
      </c>
      <c r="C157" s="3" t="s">
        <v>17</v>
      </c>
      <c r="D157" s="3" t="s">
        <v>20</v>
      </c>
      <c r="E157" s="3" t="n">
        <v>36871</v>
      </c>
      <c r="F157" s="3" t="n">
        <v>7</v>
      </c>
      <c r="G157" s="3" t="n">
        <v>5</v>
      </c>
      <c r="H157" s="3" t="n">
        <v>5</v>
      </c>
      <c r="I157" s="3" t="s">
        <v>15</v>
      </c>
      <c r="J157" s="3" t="s">
        <v>14</v>
      </c>
      <c r="K157" s="3" t="n">
        <v>88.46</v>
      </c>
    </row>
    <row r="158" customFormat="false" ht="15" hidden="false" customHeight="false" outlineLevel="0" collapsed="false">
      <c r="A158" s="2" t="n">
        <v>157</v>
      </c>
      <c r="B158" s="2" t="n">
        <v>68</v>
      </c>
      <c r="C158" s="2" t="s">
        <v>17</v>
      </c>
      <c r="D158" s="2" t="s">
        <v>22</v>
      </c>
      <c r="E158" s="2" t="n">
        <v>73294</v>
      </c>
      <c r="F158" s="2" t="n">
        <v>4</v>
      </c>
      <c r="G158" s="2" t="n">
        <v>10</v>
      </c>
      <c r="H158" s="2" t="n">
        <v>3</v>
      </c>
      <c r="I158" s="2" t="s">
        <v>15</v>
      </c>
      <c r="J158" s="2" t="s">
        <v>16</v>
      </c>
      <c r="K158" s="2" t="n">
        <v>100</v>
      </c>
    </row>
    <row r="159" customFormat="false" ht="15" hidden="false" customHeight="false" outlineLevel="0" collapsed="false">
      <c r="A159" s="3" t="n">
        <v>158</v>
      </c>
      <c r="B159" s="3" t="n">
        <v>49</v>
      </c>
      <c r="C159" s="3" t="s">
        <v>11</v>
      </c>
      <c r="D159" s="3" t="s">
        <v>18</v>
      </c>
      <c r="E159" s="3" t="n">
        <v>86112</v>
      </c>
      <c r="F159" s="3" t="n">
        <v>5</v>
      </c>
      <c r="G159" s="3" t="n">
        <v>8</v>
      </c>
      <c r="H159" s="3" t="n">
        <v>1</v>
      </c>
      <c r="I159" s="3" t="s">
        <v>13</v>
      </c>
      <c r="J159" s="3" t="s">
        <v>16</v>
      </c>
      <c r="K159" s="3" t="n">
        <v>100</v>
      </c>
    </row>
    <row r="160" customFormat="false" ht="15" hidden="false" customHeight="false" outlineLevel="0" collapsed="false">
      <c r="A160" s="2" t="n">
        <v>159</v>
      </c>
      <c r="B160" s="2" t="n">
        <v>56</v>
      </c>
      <c r="C160" s="2" t="s">
        <v>17</v>
      </c>
      <c r="D160" s="2" t="s">
        <v>12</v>
      </c>
      <c r="E160" s="2" t="n">
        <v>50403</v>
      </c>
      <c r="F160" s="2" t="n">
        <v>9</v>
      </c>
      <c r="G160" s="2" t="n">
        <v>5</v>
      </c>
      <c r="H160" s="2" t="n">
        <v>13</v>
      </c>
      <c r="I160" s="2" t="s">
        <v>15</v>
      </c>
      <c r="J160" s="2" t="s">
        <v>14</v>
      </c>
      <c r="K160" s="2" t="n">
        <v>100</v>
      </c>
    </row>
    <row r="161" customFormat="false" ht="15" hidden="false" customHeight="false" outlineLevel="0" collapsed="false">
      <c r="A161" s="3" t="n">
        <v>160</v>
      </c>
      <c r="B161" s="3" t="n">
        <v>66</v>
      </c>
      <c r="C161" s="3" t="s">
        <v>11</v>
      </c>
      <c r="D161" s="3" t="s">
        <v>18</v>
      </c>
      <c r="E161" s="3" t="n">
        <v>49312</v>
      </c>
      <c r="F161" s="3" t="n">
        <v>4</v>
      </c>
      <c r="G161" s="3" t="n">
        <v>2</v>
      </c>
      <c r="H161" s="3" t="n">
        <v>7</v>
      </c>
      <c r="I161" s="3" t="s">
        <v>13</v>
      </c>
      <c r="J161" s="3" t="s">
        <v>19</v>
      </c>
      <c r="K161" s="3" t="n">
        <v>69.68</v>
      </c>
    </row>
    <row r="162" customFormat="false" ht="15" hidden="false" customHeight="false" outlineLevel="0" collapsed="false">
      <c r="A162" s="2" t="n">
        <v>161</v>
      </c>
      <c r="B162" s="2" t="n">
        <v>69</v>
      </c>
      <c r="C162" s="2" t="s">
        <v>17</v>
      </c>
      <c r="D162" s="2" t="s">
        <v>22</v>
      </c>
      <c r="E162" s="2" t="n">
        <v>95901</v>
      </c>
      <c r="F162" s="2" t="n">
        <v>7</v>
      </c>
      <c r="G162" s="2" t="n">
        <v>8</v>
      </c>
      <c r="H162" s="2" t="n">
        <v>9</v>
      </c>
      <c r="I162" s="2" t="s">
        <v>13</v>
      </c>
      <c r="J162" s="2" t="s">
        <v>19</v>
      </c>
      <c r="K162" s="2" t="n">
        <v>100</v>
      </c>
    </row>
    <row r="163" customFormat="false" ht="15" hidden="false" customHeight="false" outlineLevel="0" collapsed="false">
      <c r="A163" s="3" t="n">
        <v>162</v>
      </c>
      <c r="B163" s="3" t="n">
        <v>49</v>
      </c>
      <c r="C163" s="3" t="s">
        <v>17</v>
      </c>
      <c r="D163" s="3" t="s">
        <v>12</v>
      </c>
      <c r="E163" s="3" t="n">
        <v>59912</v>
      </c>
      <c r="F163" s="3" t="n">
        <v>5</v>
      </c>
      <c r="G163" s="3" t="n">
        <v>9</v>
      </c>
      <c r="H163" s="3" t="n">
        <v>1</v>
      </c>
      <c r="I163" s="3" t="s">
        <v>15</v>
      </c>
      <c r="J163" s="3" t="s">
        <v>14</v>
      </c>
      <c r="K163" s="3" t="n">
        <v>100</v>
      </c>
    </row>
    <row r="164" customFormat="false" ht="15" hidden="false" customHeight="false" outlineLevel="0" collapsed="false">
      <c r="A164" s="2" t="n">
        <v>163</v>
      </c>
      <c r="B164" s="2" t="n">
        <v>21</v>
      </c>
      <c r="C164" s="2" t="s">
        <v>11</v>
      </c>
      <c r="D164" s="2" t="s">
        <v>23</v>
      </c>
      <c r="E164" s="2" t="n">
        <v>64783</v>
      </c>
      <c r="F164" s="2" t="n">
        <v>1</v>
      </c>
      <c r="G164" s="2" t="n">
        <v>1</v>
      </c>
      <c r="H164" s="2" t="n">
        <v>2</v>
      </c>
      <c r="I164" s="2" t="s">
        <v>13</v>
      </c>
      <c r="J164" s="2" t="s">
        <v>14</v>
      </c>
      <c r="K164" s="2" t="n">
        <v>29.03</v>
      </c>
    </row>
    <row r="165" customFormat="false" ht="15" hidden="false" customHeight="false" outlineLevel="0" collapsed="false">
      <c r="A165" s="3" t="n">
        <v>164</v>
      </c>
      <c r="B165" s="3" t="n">
        <v>47</v>
      </c>
      <c r="C165" s="3" t="s">
        <v>11</v>
      </c>
      <c r="D165" s="3" t="s">
        <v>12</v>
      </c>
      <c r="E165" s="3" t="n">
        <v>48172</v>
      </c>
      <c r="F165" s="3" t="n">
        <v>1</v>
      </c>
      <c r="G165" s="3" t="n">
        <v>8</v>
      </c>
      <c r="H165" s="3" t="n">
        <v>5</v>
      </c>
      <c r="I165" s="3" t="s">
        <v>13</v>
      </c>
      <c r="J165" s="3" t="s">
        <v>19</v>
      </c>
      <c r="K165" s="3" t="n">
        <v>73.46</v>
      </c>
    </row>
    <row r="166" customFormat="false" ht="15" hidden="false" customHeight="false" outlineLevel="0" collapsed="false">
      <c r="A166" s="2" t="n">
        <v>165</v>
      </c>
      <c r="B166" s="2" t="n">
        <v>54</v>
      </c>
      <c r="C166" s="2" t="s">
        <v>11</v>
      </c>
      <c r="D166" s="2" t="s">
        <v>20</v>
      </c>
      <c r="E166" s="2" t="n">
        <v>57353</v>
      </c>
      <c r="F166" s="2" t="n">
        <v>6</v>
      </c>
      <c r="G166" s="2" t="n">
        <v>4</v>
      </c>
      <c r="H166" s="2" t="n">
        <v>7</v>
      </c>
      <c r="I166" s="2" t="s">
        <v>15</v>
      </c>
      <c r="J166" s="2" t="s">
        <v>19</v>
      </c>
      <c r="K166" s="2" t="n">
        <v>100</v>
      </c>
    </row>
    <row r="167" customFormat="false" ht="15" hidden="false" customHeight="false" outlineLevel="0" collapsed="false">
      <c r="A167" s="3" t="n">
        <v>166</v>
      </c>
      <c r="B167" s="3" t="n">
        <v>40</v>
      </c>
      <c r="C167" s="3" t="s">
        <v>11</v>
      </c>
      <c r="D167" s="3" t="s">
        <v>23</v>
      </c>
      <c r="E167" s="3" t="n">
        <v>67987</v>
      </c>
      <c r="F167" s="3" t="n">
        <v>2</v>
      </c>
      <c r="G167" s="3" t="n">
        <v>7</v>
      </c>
      <c r="H167" s="3" t="n">
        <v>20</v>
      </c>
      <c r="I167" s="3" t="s">
        <v>13</v>
      </c>
      <c r="J167" s="3" t="s">
        <v>19</v>
      </c>
      <c r="K167" s="3" t="n">
        <v>100</v>
      </c>
    </row>
    <row r="168" customFormat="false" ht="15" hidden="false" customHeight="false" outlineLevel="0" collapsed="false">
      <c r="A168" s="2" t="n">
        <v>167</v>
      </c>
      <c r="B168" s="2" t="n">
        <v>56</v>
      </c>
      <c r="C168" s="2" t="s">
        <v>11</v>
      </c>
      <c r="D168" s="2" t="s">
        <v>12</v>
      </c>
      <c r="E168" s="2" t="n">
        <v>59206</v>
      </c>
      <c r="F168" s="2" t="n">
        <v>5</v>
      </c>
      <c r="G168" s="2" t="n">
        <v>7</v>
      </c>
      <c r="H168" s="2" t="n">
        <v>4</v>
      </c>
      <c r="I168" s="2" t="s">
        <v>21</v>
      </c>
      <c r="J168" s="2" t="s">
        <v>16</v>
      </c>
      <c r="K168" s="2" t="n">
        <v>79.87</v>
      </c>
    </row>
    <row r="169" customFormat="false" ht="15" hidden="false" customHeight="false" outlineLevel="0" collapsed="false">
      <c r="A169" s="3" t="n">
        <v>168</v>
      </c>
      <c r="B169" s="3" t="n">
        <v>62</v>
      </c>
      <c r="C169" s="3" t="s">
        <v>11</v>
      </c>
      <c r="D169" s="3" t="s">
        <v>23</v>
      </c>
      <c r="E169" s="3" t="n">
        <v>94493</v>
      </c>
      <c r="F169" s="3" t="n">
        <v>2</v>
      </c>
      <c r="G169" s="3" t="n">
        <v>10</v>
      </c>
      <c r="H169" s="3" t="n">
        <v>10</v>
      </c>
      <c r="I169" s="3" t="s">
        <v>21</v>
      </c>
      <c r="J169" s="3" t="s">
        <v>19</v>
      </c>
      <c r="K169" s="3" t="n">
        <v>100</v>
      </c>
    </row>
    <row r="170" customFormat="false" ht="15" hidden="false" customHeight="false" outlineLevel="0" collapsed="false">
      <c r="A170" s="2" t="n">
        <v>169</v>
      </c>
      <c r="B170" s="2" t="n">
        <v>32</v>
      </c>
      <c r="C170" s="2" t="s">
        <v>17</v>
      </c>
      <c r="D170" s="2" t="s">
        <v>20</v>
      </c>
      <c r="E170" s="2" t="n">
        <v>110154</v>
      </c>
      <c r="F170" s="2" t="n">
        <v>10</v>
      </c>
      <c r="G170" s="2" t="n">
        <v>8</v>
      </c>
      <c r="H170" s="2" t="n">
        <v>8</v>
      </c>
      <c r="I170" s="2" t="s">
        <v>15</v>
      </c>
      <c r="J170" s="2" t="s">
        <v>14</v>
      </c>
      <c r="K170" s="2" t="n">
        <v>100</v>
      </c>
    </row>
    <row r="171" customFormat="false" ht="15" hidden="false" customHeight="false" outlineLevel="0" collapsed="false">
      <c r="A171" s="3" t="n">
        <v>170</v>
      </c>
      <c r="B171" s="3" t="n">
        <v>60</v>
      </c>
      <c r="C171" s="3" t="s">
        <v>17</v>
      </c>
      <c r="D171" s="3" t="s">
        <v>20</v>
      </c>
      <c r="E171" s="3" t="n">
        <v>66852</v>
      </c>
      <c r="F171" s="3" t="n">
        <v>1</v>
      </c>
      <c r="G171" s="3" t="n">
        <v>6</v>
      </c>
      <c r="H171" s="3" t="n">
        <v>14</v>
      </c>
      <c r="I171" s="3" t="s">
        <v>21</v>
      </c>
      <c r="J171" s="3" t="s">
        <v>14</v>
      </c>
      <c r="K171" s="3" t="n">
        <v>77.8</v>
      </c>
    </row>
    <row r="172" customFormat="false" ht="15" hidden="false" customHeight="false" outlineLevel="0" collapsed="false">
      <c r="A172" s="2" t="n">
        <v>171</v>
      </c>
      <c r="B172" s="2" t="n">
        <v>46</v>
      </c>
      <c r="C172" s="2" t="s">
        <v>11</v>
      </c>
      <c r="D172" s="2" t="s">
        <v>18</v>
      </c>
      <c r="E172" s="2" t="n">
        <v>60850</v>
      </c>
      <c r="F172" s="2" t="n">
        <v>8</v>
      </c>
      <c r="G172" s="2" t="n">
        <v>4</v>
      </c>
      <c r="H172" s="2" t="n">
        <v>5</v>
      </c>
      <c r="I172" s="2" t="s">
        <v>13</v>
      </c>
      <c r="J172" s="2" t="s">
        <v>16</v>
      </c>
      <c r="K172" s="2" t="n">
        <v>90.13</v>
      </c>
    </row>
    <row r="173" customFormat="false" ht="15" hidden="false" customHeight="false" outlineLevel="0" collapsed="false">
      <c r="A173" s="3" t="n">
        <v>172</v>
      </c>
      <c r="B173" s="3" t="n">
        <v>53</v>
      </c>
      <c r="C173" s="3" t="s">
        <v>11</v>
      </c>
      <c r="D173" s="3" t="s">
        <v>20</v>
      </c>
      <c r="E173" s="3" t="n">
        <v>95639</v>
      </c>
      <c r="F173" s="3" t="n">
        <v>4</v>
      </c>
      <c r="G173" s="3" t="n">
        <v>8</v>
      </c>
      <c r="H173" s="3" t="n">
        <v>4</v>
      </c>
      <c r="I173" s="3" t="s">
        <v>15</v>
      </c>
      <c r="J173" s="3" t="s">
        <v>19</v>
      </c>
      <c r="K173" s="3" t="n">
        <v>100</v>
      </c>
    </row>
    <row r="174" customFormat="false" ht="15" hidden="false" customHeight="false" outlineLevel="0" collapsed="false">
      <c r="A174" s="2" t="n">
        <v>173</v>
      </c>
      <c r="B174" s="2" t="n">
        <v>30</v>
      </c>
      <c r="C174" s="2" t="s">
        <v>11</v>
      </c>
      <c r="D174" s="2" t="s">
        <v>20</v>
      </c>
      <c r="E174" s="2" t="n">
        <v>37706</v>
      </c>
      <c r="F174" s="2" t="n">
        <v>10</v>
      </c>
      <c r="G174" s="2" t="n">
        <v>9</v>
      </c>
      <c r="H174" s="2" t="n">
        <v>15</v>
      </c>
      <c r="I174" s="2" t="s">
        <v>13</v>
      </c>
      <c r="J174" s="2" t="s">
        <v>19</v>
      </c>
      <c r="K174" s="2" t="n">
        <v>100</v>
      </c>
    </row>
    <row r="175" customFormat="false" ht="15" hidden="false" customHeight="false" outlineLevel="0" collapsed="false">
      <c r="A175" s="3" t="n">
        <v>174</v>
      </c>
      <c r="B175" s="3" t="n">
        <v>49</v>
      </c>
      <c r="C175" s="3" t="s">
        <v>17</v>
      </c>
      <c r="D175" s="3" t="s">
        <v>20</v>
      </c>
      <c r="E175" s="3" t="n">
        <v>65517</v>
      </c>
      <c r="F175" s="3" t="n">
        <v>5</v>
      </c>
      <c r="G175" s="3" t="n">
        <v>10</v>
      </c>
      <c r="H175" s="3" t="n">
        <v>12</v>
      </c>
      <c r="I175" s="3" t="s">
        <v>13</v>
      </c>
      <c r="J175" s="3" t="s">
        <v>16</v>
      </c>
      <c r="K175" s="3" t="n">
        <v>100</v>
      </c>
    </row>
    <row r="176" customFormat="false" ht="15" hidden="false" customHeight="false" outlineLevel="0" collapsed="false">
      <c r="A176" s="2" t="n">
        <v>175</v>
      </c>
      <c r="B176" s="2" t="n">
        <v>24</v>
      </c>
      <c r="C176" s="2" t="s">
        <v>17</v>
      </c>
      <c r="D176" s="2" t="s">
        <v>22</v>
      </c>
      <c r="E176" s="2" t="n">
        <v>61501</v>
      </c>
      <c r="F176" s="2" t="n">
        <v>6</v>
      </c>
      <c r="G176" s="2" t="n">
        <v>1</v>
      </c>
      <c r="H176" s="2" t="n">
        <v>2</v>
      </c>
      <c r="I176" s="2" t="s">
        <v>21</v>
      </c>
      <c r="J176" s="2" t="s">
        <v>16</v>
      </c>
      <c r="K176" s="2" t="n">
        <v>61.82</v>
      </c>
    </row>
    <row r="177" customFormat="false" ht="15" hidden="false" customHeight="false" outlineLevel="0" collapsed="false">
      <c r="A177" s="3" t="n">
        <v>176</v>
      </c>
      <c r="B177" s="3" t="n">
        <v>68</v>
      </c>
      <c r="C177" s="3" t="s">
        <v>17</v>
      </c>
      <c r="D177" s="3" t="s">
        <v>20</v>
      </c>
      <c r="E177" s="3" t="n">
        <v>117771</v>
      </c>
      <c r="F177" s="3" t="n">
        <v>6</v>
      </c>
      <c r="G177" s="3" t="n">
        <v>3</v>
      </c>
      <c r="H177" s="3" t="n">
        <v>9</v>
      </c>
      <c r="I177" s="3" t="s">
        <v>21</v>
      </c>
      <c r="J177" s="3" t="s">
        <v>19</v>
      </c>
      <c r="K177" s="3" t="n">
        <v>100</v>
      </c>
    </row>
    <row r="178" customFormat="false" ht="15" hidden="false" customHeight="false" outlineLevel="0" collapsed="false">
      <c r="A178" s="2" t="n">
        <v>177</v>
      </c>
      <c r="B178" s="2" t="n">
        <v>39</v>
      </c>
      <c r="C178" s="2" t="s">
        <v>17</v>
      </c>
      <c r="D178" s="2" t="s">
        <v>18</v>
      </c>
      <c r="E178" s="2" t="n">
        <v>114651</v>
      </c>
      <c r="F178" s="2" t="n">
        <v>4</v>
      </c>
      <c r="G178" s="2" t="n">
        <v>5</v>
      </c>
      <c r="H178" s="2" t="n">
        <v>9</v>
      </c>
      <c r="I178" s="2" t="s">
        <v>15</v>
      </c>
      <c r="J178" s="2" t="s">
        <v>16</v>
      </c>
      <c r="K178" s="2" t="n">
        <v>95.71</v>
      </c>
    </row>
    <row r="179" customFormat="false" ht="15" hidden="false" customHeight="false" outlineLevel="0" collapsed="false">
      <c r="A179" s="3" t="n">
        <v>178</v>
      </c>
      <c r="B179" s="3" t="n">
        <v>45</v>
      </c>
      <c r="C179" s="3" t="s">
        <v>11</v>
      </c>
      <c r="D179" s="3" t="s">
        <v>23</v>
      </c>
      <c r="E179" s="3" t="n">
        <v>74007</v>
      </c>
      <c r="F179" s="3" t="n">
        <v>2</v>
      </c>
      <c r="G179" s="3" t="n">
        <v>9</v>
      </c>
      <c r="H179" s="3" t="n">
        <v>17</v>
      </c>
      <c r="I179" s="3" t="s">
        <v>13</v>
      </c>
      <c r="J179" s="3" t="s">
        <v>16</v>
      </c>
      <c r="K179" s="3" t="n">
        <v>98.36</v>
      </c>
    </row>
    <row r="180" customFormat="false" ht="15" hidden="false" customHeight="false" outlineLevel="0" collapsed="false">
      <c r="A180" s="2" t="n">
        <v>179</v>
      </c>
      <c r="B180" s="2" t="n">
        <v>19</v>
      </c>
      <c r="C180" s="2" t="s">
        <v>17</v>
      </c>
      <c r="D180" s="2" t="s">
        <v>22</v>
      </c>
      <c r="E180" s="2" t="n">
        <v>85498</v>
      </c>
      <c r="F180" s="2" t="n">
        <v>2</v>
      </c>
      <c r="G180" s="2" t="n">
        <v>8</v>
      </c>
      <c r="H180" s="2" t="n">
        <v>16</v>
      </c>
      <c r="I180" s="2" t="s">
        <v>21</v>
      </c>
      <c r="J180" s="2" t="s">
        <v>14</v>
      </c>
      <c r="K180" s="2" t="n">
        <v>100</v>
      </c>
    </row>
    <row r="181" customFormat="false" ht="15" hidden="false" customHeight="false" outlineLevel="0" collapsed="false">
      <c r="A181" s="3" t="n">
        <v>180</v>
      </c>
      <c r="B181" s="3" t="n">
        <v>59</v>
      </c>
      <c r="C181" s="3" t="s">
        <v>17</v>
      </c>
      <c r="D181" s="3" t="s">
        <v>23</v>
      </c>
      <c r="E181" s="3" t="n">
        <v>77155</v>
      </c>
      <c r="F181" s="3" t="n">
        <v>1</v>
      </c>
      <c r="G181" s="3" t="n">
        <v>7</v>
      </c>
      <c r="H181" s="3" t="n">
        <v>18</v>
      </c>
      <c r="I181" s="3" t="s">
        <v>13</v>
      </c>
      <c r="J181" s="3" t="s">
        <v>19</v>
      </c>
      <c r="K181" s="3" t="n">
        <v>94.69</v>
      </c>
    </row>
    <row r="182" customFormat="false" ht="15" hidden="false" customHeight="false" outlineLevel="0" collapsed="false">
      <c r="A182" s="2" t="n">
        <v>181</v>
      </c>
      <c r="B182" s="2" t="n">
        <v>62</v>
      </c>
      <c r="C182" s="2" t="s">
        <v>17</v>
      </c>
      <c r="D182" s="2" t="s">
        <v>23</v>
      </c>
      <c r="E182" s="2" t="n">
        <v>42755</v>
      </c>
      <c r="F182" s="2" t="n">
        <v>5</v>
      </c>
      <c r="G182" s="2" t="n">
        <v>6</v>
      </c>
      <c r="H182" s="2" t="n">
        <v>19</v>
      </c>
      <c r="I182" s="2" t="s">
        <v>13</v>
      </c>
      <c r="J182" s="2" t="s">
        <v>14</v>
      </c>
      <c r="K182" s="2" t="n">
        <v>100</v>
      </c>
    </row>
    <row r="183" customFormat="false" ht="15" hidden="false" customHeight="false" outlineLevel="0" collapsed="false">
      <c r="A183" s="3" t="n">
        <v>182</v>
      </c>
      <c r="B183" s="3" t="n">
        <v>23</v>
      </c>
      <c r="C183" s="3" t="s">
        <v>11</v>
      </c>
      <c r="D183" s="3" t="s">
        <v>18</v>
      </c>
      <c r="E183" s="3" t="n">
        <v>41681</v>
      </c>
      <c r="F183" s="3" t="n">
        <v>6</v>
      </c>
      <c r="G183" s="3" t="n">
        <v>8</v>
      </c>
      <c r="H183" s="3" t="n">
        <v>2</v>
      </c>
      <c r="I183" s="3" t="s">
        <v>15</v>
      </c>
      <c r="J183" s="3" t="s">
        <v>19</v>
      </c>
      <c r="K183" s="3" t="n">
        <v>100</v>
      </c>
    </row>
    <row r="184" customFormat="false" ht="15" hidden="false" customHeight="false" outlineLevel="0" collapsed="false">
      <c r="A184" s="2" t="n">
        <v>183</v>
      </c>
      <c r="B184" s="2" t="n">
        <v>45</v>
      </c>
      <c r="C184" s="2" t="s">
        <v>17</v>
      </c>
      <c r="D184" s="2" t="s">
        <v>22</v>
      </c>
      <c r="E184" s="2" t="n">
        <v>93484</v>
      </c>
      <c r="F184" s="2" t="n">
        <v>10</v>
      </c>
      <c r="G184" s="2" t="n">
        <v>1</v>
      </c>
      <c r="H184" s="2" t="n">
        <v>1</v>
      </c>
      <c r="I184" s="2" t="s">
        <v>21</v>
      </c>
      <c r="J184" s="2" t="s">
        <v>16</v>
      </c>
      <c r="K184" s="2" t="n">
        <v>85.16</v>
      </c>
    </row>
    <row r="185" customFormat="false" ht="15" hidden="false" customHeight="false" outlineLevel="0" collapsed="false">
      <c r="A185" s="3" t="n">
        <v>184</v>
      </c>
      <c r="B185" s="3" t="n">
        <v>45</v>
      </c>
      <c r="C185" s="3" t="s">
        <v>11</v>
      </c>
      <c r="D185" s="3" t="s">
        <v>12</v>
      </c>
      <c r="E185" s="3" t="n">
        <v>63682</v>
      </c>
      <c r="F185" s="3" t="n">
        <v>2</v>
      </c>
      <c r="G185" s="3" t="n">
        <v>2</v>
      </c>
      <c r="H185" s="3" t="n">
        <v>12</v>
      </c>
      <c r="I185" s="3" t="s">
        <v>13</v>
      </c>
      <c r="J185" s="3" t="s">
        <v>16</v>
      </c>
      <c r="K185" s="3" t="n">
        <v>62.22</v>
      </c>
    </row>
    <row r="186" customFormat="false" ht="15" hidden="false" customHeight="false" outlineLevel="0" collapsed="false">
      <c r="A186" s="2" t="n">
        <v>185</v>
      </c>
      <c r="B186" s="2" t="n">
        <v>61</v>
      </c>
      <c r="C186" s="2" t="s">
        <v>17</v>
      </c>
      <c r="D186" s="2" t="s">
        <v>20</v>
      </c>
      <c r="E186" s="2" t="n">
        <v>68904</v>
      </c>
      <c r="F186" s="2" t="n">
        <v>3</v>
      </c>
      <c r="G186" s="2" t="n">
        <v>8</v>
      </c>
      <c r="H186" s="2" t="n">
        <v>2</v>
      </c>
      <c r="I186" s="2" t="s">
        <v>21</v>
      </c>
      <c r="J186" s="2" t="s">
        <v>14</v>
      </c>
      <c r="K186" s="2" t="n">
        <v>100</v>
      </c>
    </row>
    <row r="187" customFormat="false" ht="15" hidden="false" customHeight="false" outlineLevel="0" collapsed="false">
      <c r="A187" s="3" t="n">
        <v>186</v>
      </c>
      <c r="B187" s="3" t="n">
        <v>61</v>
      </c>
      <c r="C187" s="3" t="s">
        <v>17</v>
      </c>
      <c r="D187" s="3" t="s">
        <v>23</v>
      </c>
      <c r="E187" s="3" t="n">
        <v>49947</v>
      </c>
      <c r="F187" s="3" t="n">
        <v>3</v>
      </c>
      <c r="G187" s="3" t="n">
        <v>6</v>
      </c>
      <c r="H187" s="3" t="n">
        <v>14</v>
      </c>
      <c r="I187" s="3" t="s">
        <v>15</v>
      </c>
      <c r="J187" s="3" t="s">
        <v>16</v>
      </c>
      <c r="K187" s="3" t="n">
        <v>77.78</v>
      </c>
    </row>
    <row r="188" customFormat="false" ht="15" hidden="false" customHeight="false" outlineLevel="0" collapsed="false">
      <c r="A188" s="2" t="n">
        <v>187</v>
      </c>
      <c r="B188" s="2" t="n">
        <v>37</v>
      </c>
      <c r="C188" s="2" t="s">
        <v>17</v>
      </c>
      <c r="D188" s="2" t="s">
        <v>23</v>
      </c>
      <c r="E188" s="2" t="n">
        <v>51696</v>
      </c>
      <c r="F188" s="2" t="n">
        <v>7</v>
      </c>
      <c r="G188" s="2" t="n">
        <v>7</v>
      </c>
      <c r="H188" s="2" t="n">
        <v>19</v>
      </c>
      <c r="I188" s="2" t="s">
        <v>13</v>
      </c>
      <c r="J188" s="2" t="s">
        <v>19</v>
      </c>
      <c r="K188" s="2" t="n">
        <v>100</v>
      </c>
    </row>
    <row r="189" customFormat="false" ht="15" hidden="false" customHeight="false" outlineLevel="0" collapsed="false">
      <c r="A189" s="3" t="n">
        <v>188</v>
      </c>
      <c r="B189" s="3" t="n">
        <v>47</v>
      </c>
      <c r="C189" s="3" t="s">
        <v>11</v>
      </c>
      <c r="D189" s="3" t="s">
        <v>18</v>
      </c>
      <c r="E189" s="3" t="n">
        <v>56756</v>
      </c>
      <c r="F189" s="3" t="n">
        <v>8</v>
      </c>
      <c r="G189" s="3" t="n">
        <v>5</v>
      </c>
      <c r="H189" s="3" t="n">
        <v>3</v>
      </c>
      <c r="I189" s="3" t="s">
        <v>21</v>
      </c>
      <c r="J189" s="3" t="s">
        <v>14</v>
      </c>
      <c r="K189" s="3" t="n">
        <v>92.55</v>
      </c>
    </row>
    <row r="190" customFormat="false" ht="15" hidden="false" customHeight="false" outlineLevel="0" collapsed="false">
      <c r="A190" s="2" t="n">
        <v>189</v>
      </c>
      <c r="B190" s="2" t="n">
        <v>28</v>
      </c>
      <c r="C190" s="2" t="s">
        <v>17</v>
      </c>
      <c r="D190" s="2" t="s">
        <v>18</v>
      </c>
      <c r="E190" s="2" t="n">
        <v>103912</v>
      </c>
      <c r="F190" s="2" t="n">
        <v>2</v>
      </c>
      <c r="G190" s="2" t="n">
        <v>7</v>
      </c>
      <c r="H190" s="2" t="n">
        <v>2</v>
      </c>
      <c r="I190" s="2" t="s">
        <v>21</v>
      </c>
      <c r="J190" s="2" t="s">
        <v>14</v>
      </c>
      <c r="K190" s="2" t="n">
        <v>69.02</v>
      </c>
    </row>
    <row r="191" customFormat="false" ht="15" hidden="false" customHeight="false" outlineLevel="0" collapsed="false">
      <c r="A191" s="3" t="n">
        <v>190</v>
      </c>
      <c r="B191" s="3" t="n">
        <v>45</v>
      </c>
      <c r="C191" s="3" t="s">
        <v>17</v>
      </c>
      <c r="D191" s="3" t="s">
        <v>18</v>
      </c>
      <c r="E191" s="3" t="n">
        <v>113093</v>
      </c>
      <c r="F191" s="3" t="n">
        <v>5</v>
      </c>
      <c r="G191" s="3" t="n">
        <v>9</v>
      </c>
      <c r="H191" s="3" t="n">
        <v>2</v>
      </c>
      <c r="I191" s="3" t="s">
        <v>13</v>
      </c>
      <c r="J191" s="3" t="s">
        <v>16</v>
      </c>
      <c r="K191" s="3" t="n">
        <v>100</v>
      </c>
    </row>
    <row r="192" customFormat="false" ht="15" hidden="false" customHeight="false" outlineLevel="0" collapsed="false">
      <c r="A192" s="2" t="n">
        <v>191</v>
      </c>
      <c r="B192" s="2" t="n">
        <v>42</v>
      </c>
      <c r="C192" s="2" t="s">
        <v>11</v>
      </c>
      <c r="D192" s="2" t="s">
        <v>22</v>
      </c>
      <c r="E192" s="2" t="n">
        <v>85553</v>
      </c>
      <c r="F192" s="2" t="n">
        <v>7</v>
      </c>
      <c r="G192" s="2" t="n">
        <v>5</v>
      </c>
      <c r="H192" s="2" t="n">
        <v>11</v>
      </c>
      <c r="I192" s="2" t="s">
        <v>21</v>
      </c>
      <c r="J192" s="2" t="s">
        <v>14</v>
      </c>
      <c r="K192" s="2" t="n">
        <v>100</v>
      </c>
    </row>
    <row r="193" customFormat="false" ht="15" hidden="false" customHeight="false" outlineLevel="0" collapsed="false">
      <c r="A193" s="3" t="n">
        <v>192</v>
      </c>
      <c r="B193" s="3" t="n">
        <v>56</v>
      </c>
      <c r="C193" s="3" t="s">
        <v>17</v>
      </c>
      <c r="D193" s="3" t="s">
        <v>20</v>
      </c>
      <c r="E193" s="3" t="n">
        <v>37624</v>
      </c>
      <c r="F193" s="3" t="n">
        <v>8</v>
      </c>
      <c r="G193" s="3" t="n">
        <v>7</v>
      </c>
      <c r="H193" s="3" t="n">
        <v>2</v>
      </c>
      <c r="I193" s="3" t="s">
        <v>15</v>
      </c>
      <c r="J193" s="3" t="s">
        <v>14</v>
      </c>
      <c r="K193" s="3" t="n">
        <v>96.23</v>
      </c>
    </row>
    <row r="194" customFormat="false" ht="15" hidden="false" customHeight="false" outlineLevel="0" collapsed="false">
      <c r="A194" s="2" t="n">
        <v>193</v>
      </c>
      <c r="B194" s="2" t="n">
        <v>50</v>
      </c>
      <c r="C194" s="2" t="s">
        <v>17</v>
      </c>
      <c r="D194" s="2" t="s">
        <v>22</v>
      </c>
      <c r="E194" s="2" t="n">
        <v>106523</v>
      </c>
      <c r="F194" s="2" t="n">
        <v>10</v>
      </c>
      <c r="G194" s="2" t="n">
        <v>4</v>
      </c>
      <c r="H194" s="2" t="n">
        <v>17</v>
      </c>
      <c r="I194" s="2" t="s">
        <v>13</v>
      </c>
      <c r="J194" s="2" t="s">
        <v>14</v>
      </c>
      <c r="K194" s="2" t="n">
        <v>100</v>
      </c>
    </row>
    <row r="195" customFormat="false" ht="15" hidden="false" customHeight="false" outlineLevel="0" collapsed="false">
      <c r="A195" s="3" t="n">
        <v>194</v>
      </c>
      <c r="B195" s="3" t="n">
        <v>18</v>
      </c>
      <c r="C195" s="3" t="s">
        <v>17</v>
      </c>
      <c r="D195" s="3" t="s">
        <v>18</v>
      </c>
      <c r="E195" s="3" t="n">
        <v>96950</v>
      </c>
      <c r="F195" s="3" t="n">
        <v>3</v>
      </c>
      <c r="G195" s="3" t="n">
        <v>5</v>
      </c>
      <c r="H195" s="3" t="n">
        <v>12</v>
      </c>
      <c r="I195" s="3" t="s">
        <v>21</v>
      </c>
      <c r="J195" s="3" t="s">
        <v>14</v>
      </c>
      <c r="K195" s="3" t="n">
        <v>81.47</v>
      </c>
    </row>
    <row r="196" customFormat="false" ht="15" hidden="false" customHeight="false" outlineLevel="0" collapsed="false">
      <c r="A196" s="2" t="n">
        <v>195</v>
      </c>
      <c r="B196" s="2" t="n">
        <v>44</v>
      </c>
      <c r="C196" s="2" t="s">
        <v>17</v>
      </c>
      <c r="D196" s="2" t="s">
        <v>18</v>
      </c>
      <c r="E196" s="2" t="n">
        <v>63044</v>
      </c>
      <c r="F196" s="2" t="n">
        <v>6</v>
      </c>
      <c r="G196" s="2" t="n">
        <v>10</v>
      </c>
      <c r="H196" s="2" t="n">
        <v>12</v>
      </c>
      <c r="I196" s="2" t="s">
        <v>15</v>
      </c>
      <c r="J196" s="2" t="s">
        <v>19</v>
      </c>
      <c r="K196" s="2" t="n">
        <v>100</v>
      </c>
    </row>
    <row r="197" customFormat="false" ht="15" hidden="false" customHeight="false" outlineLevel="0" collapsed="false">
      <c r="A197" s="3" t="n">
        <v>196</v>
      </c>
      <c r="B197" s="3" t="n">
        <v>69</v>
      </c>
      <c r="C197" s="3" t="s">
        <v>17</v>
      </c>
      <c r="D197" s="3" t="s">
        <v>23</v>
      </c>
      <c r="E197" s="3" t="n">
        <v>107370</v>
      </c>
      <c r="F197" s="3" t="n">
        <v>9</v>
      </c>
      <c r="G197" s="3" t="n">
        <v>5</v>
      </c>
      <c r="H197" s="3" t="n">
        <v>17</v>
      </c>
      <c r="I197" s="3" t="s">
        <v>15</v>
      </c>
      <c r="J197" s="3" t="s">
        <v>19</v>
      </c>
      <c r="K197" s="3" t="n">
        <v>100</v>
      </c>
    </row>
    <row r="198" customFormat="false" ht="15" hidden="false" customHeight="false" outlineLevel="0" collapsed="false">
      <c r="A198" s="2" t="n">
        <v>197</v>
      </c>
      <c r="B198" s="2" t="n">
        <v>30</v>
      </c>
      <c r="C198" s="2" t="s">
        <v>11</v>
      </c>
      <c r="D198" s="2" t="s">
        <v>22</v>
      </c>
      <c r="E198" s="2" t="n">
        <v>58424</v>
      </c>
      <c r="F198" s="2" t="n">
        <v>4</v>
      </c>
      <c r="G198" s="2" t="n">
        <v>5</v>
      </c>
      <c r="H198" s="2" t="n">
        <v>1</v>
      </c>
      <c r="I198" s="2" t="s">
        <v>13</v>
      </c>
      <c r="J198" s="2" t="s">
        <v>14</v>
      </c>
      <c r="K198" s="2" t="n">
        <v>67.86</v>
      </c>
    </row>
    <row r="199" customFormat="false" ht="15" hidden="false" customHeight="false" outlineLevel="0" collapsed="false">
      <c r="A199" s="3" t="n">
        <v>198</v>
      </c>
      <c r="B199" s="3" t="n">
        <v>58</v>
      </c>
      <c r="C199" s="3" t="s">
        <v>17</v>
      </c>
      <c r="D199" s="3" t="s">
        <v>22</v>
      </c>
      <c r="E199" s="3" t="n">
        <v>58791</v>
      </c>
      <c r="F199" s="3" t="n">
        <v>6</v>
      </c>
      <c r="G199" s="3" t="n">
        <v>3</v>
      </c>
      <c r="H199" s="3" t="n">
        <v>8</v>
      </c>
      <c r="I199" s="3" t="s">
        <v>15</v>
      </c>
      <c r="J199" s="3" t="s">
        <v>19</v>
      </c>
      <c r="K199" s="3" t="n">
        <v>78.6</v>
      </c>
    </row>
    <row r="200" customFormat="false" ht="15" hidden="false" customHeight="false" outlineLevel="0" collapsed="false">
      <c r="A200" s="2" t="n">
        <v>199</v>
      </c>
      <c r="B200" s="2" t="n">
        <v>20</v>
      </c>
      <c r="C200" s="2" t="s">
        <v>17</v>
      </c>
      <c r="D200" s="2" t="s">
        <v>20</v>
      </c>
      <c r="E200" s="2" t="n">
        <v>108408</v>
      </c>
      <c r="F200" s="2" t="n">
        <v>4</v>
      </c>
      <c r="G200" s="2" t="n">
        <v>5</v>
      </c>
      <c r="H200" s="2" t="n">
        <v>7</v>
      </c>
      <c r="I200" s="2" t="s">
        <v>13</v>
      </c>
      <c r="J200" s="2" t="s">
        <v>14</v>
      </c>
      <c r="K200" s="2" t="n">
        <v>86.29</v>
      </c>
    </row>
    <row r="201" customFormat="false" ht="15" hidden="false" customHeight="false" outlineLevel="0" collapsed="false">
      <c r="A201" s="3" t="n">
        <v>200</v>
      </c>
      <c r="B201" s="3" t="n">
        <v>56</v>
      </c>
      <c r="C201" s="3" t="s">
        <v>11</v>
      </c>
      <c r="D201" s="3" t="s">
        <v>22</v>
      </c>
      <c r="E201" s="3" t="n">
        <v>30250</v>
      </c>
      <c r="F201" s="3" t="n">
        <v>5</v>
      </c>
      <c r="G201" s="3" t="n">
        <v>6</v>
      </c>
      <c r="H201" s="3" t="n">
        <v>7</v>
      </c>
      <c r="I201" s="3" t="s">
        <v>13</v>
      </c>
      <c r="J201" s="3" t="s">
        <v>19</v>
      </c>
      <c r="K201" s="3" t="n">
        <v>90.23</v>
      </c>
    </row>
    <row r="202" customFormat="false" ht="15" hidden="false" customHeight="false" outlineLevel="0" collapsed="false">
      <c r="A202" s="2" t="n">
        <v>201</v>
      </c>
      <c r="B202" s="2" t="n">
        <v>23</v>
      </c>
      <c r="C202" s="2" t="s">
        <v>11</v>
      </c>
      <c r="D202" s="2" t="s">
        <v>20</v>
      </c>
      <c r="E202" s="2" t="n">
        <v>76475</v>
      </c>
      <c r="F202" s="2" t="n">
        <v>3</v>
      </c>
      <c r="G202" s="2" t="n">
        <v>7</v>
      </c>
      <c r="H202" s="2" t="n">
        <v>10</v>
      </c>
      <c r="I202" s="2" t="s">
        <v>13</v>
      </c>
      <c r="J202" s="2" t="s">
        <v>16</v>
      </c>
      <c r="K202" s="2" t="n">
        <v>83.65</v>
      </c>
    </row>
    <row r="203" customFormat="false" ht="15" hidden="false" customHeight="false" outlineLevel="0" collapsed="false">
      <c r="A203" s="3" t="n">
        <v>202</v>
      </c>
      <c r="B203" s="3" t="n">
        <v>25</v>
      </c>
      <c r="C203" s="3" t="s">
        <v>17</v>
      </c>
      <c r="D203" s="3" t="s">
        <v>12</v>
      </c>
      <c r="E203" s="3" t="n">
        <v>43803</v>
      </c>
      <c r="F203" s="3" t="n">
        <v>4</v>
      </c>
      <c r="G203" s="3" t="n">
        <v>4</v>
      </c>
      <c r="H203" s="3" t="n">
        <v>5</v>
      </c>
      <c r="I203" s="3" t="s">
        <v>13</v>
      </c>
      <c r="J203" s="3" t="s">
        <v>19</v>
      </c>
      <c r="K203" s="3" t="n">
        <v>62.44</v>
      </c>
    </row>
    <row r="204" customFormat="false" ht="15" hidden="false" customHeight="false" outlineLevel="0" collapsed="false">
      <c r="A204" s="2" t="n">
        <v>203</v>
      </c>
      <c r="B204" s="2" t="n">
        <v>44</v>
      </c>
      <c r="C204" s="2" t="s">
        <v>17</v>
      </c>
      <c r="D204" s="2" t="s">
        <v>20</v>
      </c>
      <c r="E204" s="2" t="n">
        <v>43923</v>
      </c>
      <c r="F204" s="2" t="n">
        <v>3</v>
      </c>
      <c r="G204" s="2" t="n">
        <v>3</v>
      </c>
      <c r="H204" s="2" t="n">
        <v>20</v>
      </c>
      <c r="I204" s="2" t="s">
        <v>21</v>
      </c>
      <c r="J204" s="2" t="s">
        <v>16</v>
      </c>
      <c r="K204" s="2" t="n">
        <v>55.99</v>
      </c>
    </row>
    <row r="205" customFormat="false" ht="15" hidden="false" customHeight="false" outlineLevel="0" collapsed="false">
      <c r="A205" s="3" t="n">
        <v>204</v>
      </c>
      <c r="B205" s="3" t="n">
        <v>26</v>
      </c>
      <c r="C205" s="3" t="s">
        <v>17</v>
      </c>
      <c r="D205" s="3" t="s">
        <v>18</v>
      </c>
      <c r="E205" s="3" t="n">
        <v>74616</v>
      </c>
      <c r="F205" s="3" t="n">
        <v>4</v>
      </c>
      <c r="G205" s="3" t="n">
        <v>8</v>
      </c>
      <c r="H205" s="3" t="n">
        <v>14</v>
      </c>
      <c r="I205" s="3" t="s">
        <v>15</v>
      </c>
      <c r="J205" s="3" t="s">
        <v>14</v>
      </c>
      <c r="K205" s="3" t="n">
        <v>93.29</v>
      </c>
    </row>
    <row r="206" customFormat="false" ht="15" hidden="false" customHeight="false" outlineLevel="0" collapsed="false">
      <c r="A206" s="2" t="n">
        <v>205</v>
      </c>
      <c r="B206" s="2" t="n">
        <v>54</v>
      </c>
      <c r="C206" s="2" t="s">
        <v>11</v>
      </c>
      <c r="D206" s="2" t="s">
        <v>12</v>
      </c>
      <c r="E206" s="2" t="n">
        <v>69049</v>
      </c>
      <c r="F206" s="2" t="n">
        <v>6</v>
      </c>
      <c r="G206" s="2" t="n">
        <v>5</v>
      </c>
      <c r="H206" s="2" t="n">
        <v>7</v>
      </c>
      <c r="I206" s="2" t="s">
        <v>15</v>
      </c>
      <c r="J206" s="2" t="s">
        <v>14</v>
      </c>
      <c r="K206" s="2" t="n">
        <v>90.6</v>
      </c>
    </row>
    <row r="207" customFormat="false" ht="15" hidden="false" customHeight="false" outlineLevel="0" collapsed="false">
      <c r="A207" s="3" t="n">
        <v>206</v>
      </c>
      <c r="B207" s="3" t="n">
        <v>50</v>
      </c>
      <c r="C207" s="3" t="s">
        <v>17</v>
      </c>
      <c r="D207" s="3" t="s">
        <v>23</v>
      </c>
      <c r="E207" s="3" t="n">
        <v>75680</v>
      </c>
      <c r="F207" s="3" t="n">
        <v>2</v>
      </c>
      <c r="G207" s="3" t="n">
        <v>7</v>
      </c>
      <c r="H207" s="3" t="n">
        <v>19</v>
      </c>
      <c r="I207" s="3" t="s">
        <v>13</v>
      </c>
      <c r="J207" s="3" t="s">
        <v>19</v>
      </c>
      <c r="K207" s="3" t="n">
        <v>82.42</v>
      </c>
    </row>
    <row r="208" customFormat="false" ht="15" hidden="false" customHeight="false" outlineLevel="0" collapsed="false">
      <c r="A208" s="2" t="n">
        <v>207</v>
      </c>
      <c r="B208" s="2" t="n">
        <v>68</v>
      </c>
      <c r="C208" s="2" t="s">
        <v>11</v>
      </c>
      <c r="D208" s="2" t="s">
        <v>23</v>
      </c>
      <c r="E208" s="2" t="n">
        <v>77689</v>
      </c>
      <c r="F208" s="2" t="n">
        <v>10</v>
      </c>
      <c r="G208" s="2" t="n">
        <v>8</v>
      </c>
      <c r="H208" s="2" t="n">
        <v>11</v>
      </c>
      <c r="I208" s="2" t="s">
        <v>13</v>
      </c>
      <c r="J208" s="2" t="s">
        <v>19</v>
      </c>
      <c r="K208" s="2" t="n">
        <v>100</v>
      </c>
    </row>
    <row r="209" customFormat="false" ht="15" hidden="false" customHeight="false" outlineLevel="0" collapsed="false">
      <c r="A209" s="3" t="n">
        <v>208</v>
      </c>
      <c r="B209" s="3" t="n">
        <v>59</v>
      </c>
      <c r="C209" s="3" t="s">
        <v>11</v>
      </c>
      <c r="D209" s="3" t="s">
        <v>23</v>
      </c>
      <c r="E209" s="3" t="n">
        <v>36719</v>
      </c>
      <c r="F209" s="3" t="n">
        <v>1</v>
      </c>
      <c r="G209" s="3" t="n">
        <v>9</v>
      </c>
      <c r="H209" s="3" t="n">
        <v>14</v>
      </c>
      <c r="I209" s="3" t="s">
        <v>15</v>
      </c>
      <c r="J209" s="3" t="s">
        <v>14</v>
      </c>
      <c r="K209" s="3" t="n">
        <v>93.53</v>
      </c>
    </row>
    <row r="210" customFormat="false" ht="15" hidden="false" customHeight="false" outlineLevel="0" collapsed="false">
      <c r="A210" s="2" t="n">
        <v>209</v>
      </c>
      <c r="B210" s="2" t="n">
        <v>61</v>
      </c>
      <c r="C210" s="2" t="s">
        <v>11</v>
      </c>
      <c r="D210" s="2" t="s">
        <v>18</v>
      </c>
      <c r="E210" s="2" t="n">
        <v>60000</v>
      </c>
      <c r="F210" s="2" t="n">
        <v>8</v>
      </c>
      <c r="G210" s="2" t="n">
        <v>6</v>
      </c>
      <c r="H210" s="2" t="n">
        <v>3</v>
      </c>
      <c r="I210" s="2" t="s">
        <v>21</v>
      </c>
      <c r="J210" s="2" t="s">
        <v>14</v>
      </c>
      <c r="K210" s="2" t="n">
        <v>91.87</v>
      </c>
    </row>
    <row r="211" customFormat="false" ht="15" hidden="false" customHeight="false" outlineLevel="0" collapsed="false">
      <c r="A211" s="3" t="n">
        <v>210</v>
      </c>
      <c r="B211" s="3" t="n">
        <v>41</v>
      </c>
      <c r="C211" s="3" t="s">
        <v>17</v>
      </c>
      <c r="D211" s="3" t="s">
        <v>23</v>
      </c>
      <c r="E211" s="3" t="n">
        <v>64287</v>
      </c>
      <c r="F211" s="3" t="n">
        <v>3</v>
      </c>
      <c r="G211" s="3" t="n">
        <v>10</v>
      </c>
      <c r="H211" s="3" t="n">
        <v>6</v>
      </c>
      <c r="I211" s="3" t="s">
        <v>21</v>
      </c>
      <c r="J211" s="3" t="s">
        <v>14</v>
      </c>
      <c r="K211" s="3" t="n">
        <v>100</v>
      </c>
    </row>
    <row r="212" customFormat="false" ht="15" hidden="false" customHeight="false" outlineLevel="0" collapsed="false">
      <c r="A212" s="2" t="n">
        <v>211</v>
      </c>
      <c r="B212" s="2" t="n">
        <v>32</v>
      </c>
      <c r="C212" s="2" t="s">
        <v>17</v>
      </c>
      <c r="D212" s="2" t="s">
        <v>20</v>
      </c>
      <c r="E212" s="2" t="n">
        <v>75667</v>
      </c>
      <c r="F212" s="2" t="n">
        <v>4</v>
      </c>
      <c r="G212" s="2" t="n">
        <v>10</v>
      </c>
      <c r="H212" s="2" t="n">
        <v>12</v>
      </c>
      <c r="I212" s="2" t="s">
        <v>21</v>
      </c>
      <c r="J212" s="2" t="s">
        <v>16</v>
      </c>
      <c r="K212" s="2" t="n">
        <v>100</v>
      </c>
    </row>
    <row r="213" customFormat="false" ht="15" hidden="false" customHeight="false" outlineLevel="0" collapsed="false">
      <c r="A213" s="3" t="n">
        <v>212</v>
      </c>
      <c r="B213" s="3" t="n">
        <v>49</v>
      </c>
      <c r="C213" s="3" t="s">
        <v>17</v>
      </c>
      <c r="D213" s="3" t="s">
        <v>18</v>
      </c>
      <c r="E213" s="3" t="n">
        <v>90570</v>
      </c>
      <c r="F213" s="3" t="n">
        <v>4</v>
      </c>
      <c r="G213" s="3" t="n">
        <v>7</v>
      </c>
      <c r="H213" s="3" t="n">
        <v>1</v>
      </c>
      <c r="I213" s="3" t="s">
        <v>13</v>
      </c>
      <c r="J213" s="3" t="s">
        <v>19</v>
      </c>
      <c r="K213" s="3" t="n">
        <v>92.83</v>
      </c>
    </row>
    <row r="214" customFormat="false" ht="15" hidden="false" customHeight="false" outlineLevel="0" collapsed="false">
      <c r="A214" s="2" t="n">
        <v>213</v>
      </c>
      <c r="B214" s="2" t="n">
        <v>49</v>
      </c>
      <c r="C214" s="2" t="s">
        <v>11</v>
      </c>
      <c r="D214" s="2" t="s">
        <v>22</v>
      </c>
      <c r="E214" s="2" t="n">
        <v>66360</v>
      </c>
      <c r="F214" s="2" t="n">
        <v>4</v>
      </c>
      <c r="G214" s="2" t="n">
        <v>8</v>
      </c>
      <c r="H214" s="2" t="n">
        <v>19</v>
      </c>
      <c r="I214" s="2" t="s">
        <v>21</v>
      </c>
      <c r="J214" s="2" t="s">
        <v>19</v>
      </c>
      <c r="K214" s="2" t="n">
        <v>100</v>
      </c>
    </row>
    <row r="215" customFormat="false" ht="15" hidden="false" customHeight="false" outlineLevel="0" collapsed="false">
      <c r="A215" s="3" t="n">
        <v>214</v>
      </c>
      <c r="B215" s="3" t="n">
        <v>41</v>
      </c>
      <c r="C215" s="3" t="s">
        <v>17</v>
      </c>
      <c r="D215" s="3" t="s">
        <v>18</v>
      </c>
      <c r="E215" s="3" t="n">
        <v>108649</v>
      </c>
      <c r="F215" s="3" t="n">
        <v>8</v>
      </c>
      <c r="G215" s="3" t="n">
        <v>6</v>
      </c>
      <c r="H215" s="3" t="n">
        <v>6</v>
      </c>
      <c r="I215" s="3" t="s">
        <v>21</v>
      </c>
      <c r="J215" s="3" t="s">
        <v>19</v>
      </c>
      <c r="K215" s="3" t="n">
        <v>94.44</v>
      </c>
    </row>
    <row r="216" customFormat="false" ht="15" hidden="false" customHeight="false" outlineLevel="0" collapsed="false">
      <c r="A216" s="2" t="n">
        <v>215</v>
      </c>
      <c r="B216" s="2" t="n">
        <v>58</v>
      </c>
      <c r="C216" s="2" t="s">
        <v>17</v>
      </c>
      <c r="D216" s="2" t="s">
        <v>18</v>
      </c>
      <c r="E216" s="2" t="n">
        <v>112683</v>
      </c>
      <c r="F216" s="2" t="n">
        <v>4</v>
      </c>
      <c r="G216" s="2" t="n">
        <v>6</v>
      </c>
      <c r="H216" s="2" t="n">
        <v>4</v>
      </c>
      <c r="I216" s="2" t="s">
        <v>13</v>
      </c>
      <c r="J216" s="2" t="s">
        <v>14</v>
      </c>
      <c r="K216" s="2" t="n">
        <v>100</v>
      </c>
    </row>
    <row r="217" customFormat="false" ht="15" hidden="false" customHeight="false" outlineLevel="0" collapsed="false">
      <c r="A217" s="3" t="n">
        <v>216</v>
      </c>
      <c r="B217" s="3" t="n">
        <v>69</v>
      </c>
      <c r="C217" s="3" t="s">
        <v>11</v>
      </c>
      <c r="D217" s="3" t="s">
        <v>22</v>
      </c>
      <c r="E217" s="3" t="n">
        <v>100685</v>
      </c>
      <c r="F217" s="3" t="n">
        <v>3</v>
      </c>
      <c r="G217" s="3" t="n">
        <v>2</v>
      </c>
      <c r="H217" s="3" t="n">
        <v>14</v>
      </c>
      <c r="I217" s="3" t="s">
        <v>21</v>
      </c>
      <c r="J217" s="3" t="s">
        <v>19</v>
      </c>
      <c r="K217" s="3" t="n">
        <v>64.29</v>
      </c>
    </row>
    <row r="218" customFormat="false" ht="15" hidden="false" customHeight="false" outlineLevel="0" collapsed="false">
      <c r="A218" s="2" t="n">
        <v>217</v>
      </c>
      <c r="B218" s="2" t="n">
        <v>66</v>
      </c>
      <c r="C218" s="2" t="s">
        <v>11</v>
      </c>
      <c r="D218" s="2" t="s">
        <v>20</v>
      </c>
      <c r="E218" s="2" t="n">
        <v>38141</v>
      </c>
      <c r="F218" s="2" t="n">
        <v>6</v>
      </c>
      <c r="G218" s="2" t="n">
        <v>10</v>
      </c>
      <c r="H218" s="2" t="n">
        <v>11</v>
      </c>
      <c r="I218" s="2" t="s">
        <v>21</v>
      </c>
      <c r="J218" s="2" t="s">
        <v>16</v>
      </c>
      <c r="K218" s="2" t="n">
        <v>100</v>
      </c>
    </row>
    <row r="219" customFormat="false" ht="15" hidden="false" customHeight="false" outlineLevel="0" collapsed="false">
      <c r="A219" s="3" t="n">
        <v>218</v>
      </c>
      <c r="B219" s="3" t="n">
        <v>66</v>
      </c>
      <c r="C219" s="3" t="s">
        <v>11</v>
      </c>
      <c r="D219" s="3" t="s">
        <v>12</v>
      </c>
      <c r="E219" s="3" t="n">
        <v>88668</v>
      </c>
      <c r="F219" s="3" t="n">
        <v>2</v>
      </c>
      <c r="G219" s="3" t="n">
        <v>5</v>
      </c>
      <c r="H219" s="3" t="n">
        <v>7</v>
      </c>
      <c r="I219" s="3" t="s">
        <v>15</v>
      </c>
      <c r="J219" s="3" t="s">
        <v>19</v>
      </c>
      <c r="K219" s="3" t="n">
        <v>82.81</v>
      </c>
    </row>
    <row r="220" customFormat="false" ht="15" hidden="false" customHeight="false" outlineLevel="0" collapsed="false">
      <c r="A220" s="2" t="n">
        <v>219</v>
      </c>
      <c r="B220" s="2" t="n">
        <v>69</v>
      </c>
      <c r="C220" s="2" t="s">
        <v>11</v>
      </c>
      <c r="D220" s="2" t="s">
        <v>22</v>
      </c>
      <c r="E220" s="2" t="n">
        <v>30924</v>
      </c>
      <c r="F220" s="2" t="n">
        <v>10</v>
      </c>
      <c r="G220" s="2" t="n">
        <v>3</v>
      </c>
      <c r="H220" s="2" t="n">
        <v>6</v>
      </c>
      <c r="I220" s="2" t="s">
        <v>15</v>
      </c>
      <c r="J220" s="2" t="s">
        <v>19</v>
      </c>
      <c r="K220" s="2" t="n">
        <v>100</v>
      </c>
    </row>
    <row r="221" customFormat="false" ht="15" hidden="false" customHeight="false" outlineLevel="0" collapsed="false">
      <c r="A221" s="3" t="n">
        <v>220</v>
      </c>
      <c r="B221" s="3" t="n">
        <v>29</v>
      </c>
      <c r="C221" s="3" t="s">
        <v>11</v>
      </c>
      <c r="D221" s="3" t="s">
        <v>18</v>
      </c>
      <c r="E221" s="3" t="n">
        <v>97291</v>
      </c>
      <c r="F221" s="3" t="n">
        <v>9</v>
      </c>
      <c r="G221" s="3" t="n">
        <v>2</v>
      </c>
      <c r="H221" s="3" t="n">
        <v>19</v>
      </c>
      <c r="I221" s="3" t="s">
        <v>13</v>
      </c>
      <c r="J221" s="3" t="s">
        <v>16</v>
      </c>
      <c r="K221" s="3" t="n">
        <v>100</v>
      </c>
    </row>
    <row r="222" customFormat="false" ht="15" hidden="false" customHeight="false" outlineLevel="0" collapsed="false">
      <c r="A222" s="2" t="n">
        <v>221</v>
      </c>
      <c r="B222" s="2" t="n">
        <v>56</v>
      </c>
      <c r="C222" s="2" t="s">
        <v>17</v>
      </c>
      <c r="D222" s="2" t="s">
        <v>23</v>
      </c>
      <c r="E222" s="2" t="n">
        <v>103502</v>
      </c>
      <c r="F222" s="2" t="n">
        <v>5</v>
      </c>
      <c r="G222" s="2" t="n">
        <v>5</v>
      </c>
      <c r="H222" s="2" t="n">
        <v>19</v>
      </c>
      <c r="I222" s="2" t="s">
        <v>15</v>
      </c>
      <c r="J222" s="2" t="s">
        <v>16</v>
      </c>
      <c r="K222" s="2" t="n">
        <v>100</v>
      </c>
    </row>
    <row r="223" customFormat="false" ht="15" hidden="false" customHeight="false" outlineLevel="0" collapsed="false">
      <c r="A223" s="3" t="n">
        <v>222</v>
      </c>
      <c r="B223" s="3" t="n">
        <v>19</v>
      </c>
      <c r="C223" s="3" t="s">
        <v>11</v>
      </c>
      <c r="D223" s="3" t="s">
        <v>22</v>
      </c>
      <c r="E223" s="3" t="n">
        <v>109568</v>
      </c>
      <c r="F223" s="3" t="n">
        <v>7</v>
      </c>
      <c r="G223" s="3" t="n">
        <v>6</v>
      </c>
      <c r="H223" s="3" t="n">
        <v>11</v>
      </c>
      <c r="I223" s="3" t="s">
        <v>15</v>
      </c>
      <c r="J223" s="3" t="s">
        <v>19</v>
      </c>
      <c r="K223" s="3" t="n">
        <v>100</v>
      </c>
    </row>
    <row r="224" customFormat="false" ht="15" hidden="false" customHeight="false" outlineLevel="0" collapsed="false">
      <c r="A224" s="2" t="n">
        <v>223</v>
      </c>
      <c r="B224" s="2" t="n">
        <v>20</v>
      </c>
      <c r="C224" s="2" t="s">
        <v>17</v>
      </c>
      <c r="D224" s="2" t="s">
        <v>22</v>
      </c>
      <c r="E224" s="2" t="n">
        <v>67503</v>
      </c>
      <c r="F224" s="2" t="n">
        <v>1</v>
      </c>
      <c r="G224" s="2" t="n">
        <v>3</v>
      </c>
      <c r="H224" s="2" t="n">
        <v>14</v>
      </c>
      <c r="I224" s="2" t="s">
        <v>13</v>
      </c>
      <c r="J224" s="2" t="s">
        <v>16</v>
      </c>
      <c r="K224" s="2" t="n">
        <v>55.01</v>
      </c>
    </row>
    <row r="225" customFormat="false" ht="15" hidden="false" customHeight="false" outlineLevel="0" collapsed="false">
      <c r="A225" s="3" t="n">
        <v>224</v>
      </c>
      <c r="B225" s="3" t="n">
        <v>66</v>
      </c>
      <c r="C225" s="3" t="s">
        <v>11</v>
      </c>
      <c r="D225" s="3" t="s">
        <v>12</v>
      </c>
      <c r="E225" s="3" t="n">
        <v>102757</v>
      </c>
      <c r="F225" s="3" t="n">
        <v>2</v>
      </c>
      <c r="G225" s="3" t="n">
        <v>7</v>
      </c>
      <c r="H225" s="3" t="n">
        <v>13</v>
      </c>
      <c r="I225" s="3" t="s">
        <v>13</v>
      </c>
      <c r="J225" s="3" t="s">
        <v>14</v>
      </c>
      <c r="K225" s="3" t="n">
        <v>95.66</v>
      </c>
    </row>
    <row r="226" customFormat="false" ht="15" hidden="false" customHeight="false" outlineLevel="0" collapsed="false">
      <c r="A226" s="2" t="n">
        <v>225</v>
      </c>
      <c r="B226" s="2" t="n">
        <v>54</v>
      </c>
      <c r="C226" s="2" t="s">
        <v>17</v>
      </c>
      <c r="D226" s="2" t="s">
        <v>18</v>
      </c>
      <c r="E226" s="2" t="n">
        <v>88958</v>
      </c>
      <c r="F226" s="2" t="n">
        <v>3</v>
      </c>
      <c r="G226" s="2" t="n">
        <v>3</v>
      </c>
      <c r="H226" s="2" t="n">
        <v>12</v>
      </c>
      <c r="I226" s="2" t="s">
        <v>21</v>
      </c>
      <c r="J226" s="2" t="s">
        <v>19</v>
      </c>
      <c r="K226" s="2" t="n">
        <v>78.74</v>
      </c>
    </row>
    <row r="227" customFormat="false" ht="15" hidden="false" customHeight="false" outlineLevel="0" collapsed="false">
      <c r="A227" s="3" t="n">
        <v>226</v>
      </c>
      <c r="B227" s="3" t="n">
        <v>66</v>
      </c>
      <c r="C227" s="3" t="s">
        <v>17</v>
      </c>
      <c r="D227" s="3" t="s">
        <v>23</v>
      </c>
      <c r="E227" s="3" t="n">
        <v>111710</v>
      </c>
      <c r="F227" s="3" t="n">
        <v>4</v>
      </c>
      <c r="G227" s="3" t="n">
        <v>3</v>
      </c>
      <c r="H227" s="3" t="n">
        <v>13</v>
      </c>
      <c r="I227" s="3" t="s">
        <v>21</v>
      </c>
      <c r="J227" s="3" t="s">
        <v>14</v>
      </c>
      <c r="K227" s="3" t="n">
        <v>90</v>
      </c>
    </row>
    <row r="228" customFormat="false" ht="15" hidden="false" customHeight="false" outlineLevel="0" collapsed="false">
      <c r="A228" s="2" t="n">
        <v>227</v>
      </c>
      <c r="B228" s="2" t="n">
        <v>34</v>
      </c>
      <c r="C228" s="2" t="s">
        <v>11</v>
      </c>
      <c r="D228" s="2" t="s">
        <v>23</v>
      </c>
      <c r="E228" s="2" t="n">
        <v>62927</v>
      </c>
      <c r="F228" s="2" t="n">
        <v>10</v>
      </c>
      <c r="G228" s="2" t="n">
        <v>6</v>
      </c>
      <c r="H228" s="2" t="n">
        <v>1</v>
      </c>
      <c r="I228" s="2" t="s">
        <v>21</v>
      </c>
      <c r="J228" s="2" t="s">
        <v>19</v>
      </c>
      <c r="K228" s="2" t="n">
        <v>100</v>
      </c>
    </row>
    <row r="229" customFormat="false" ht="15" hidden="false" customHeight="false" outlineLevel="0" collapsed="false">
      <c r="A229" s="3" t="n">
        <v>228</v>
      </c>
      <c r="B229" s="3" t="n">
        <v>66</v>
      </c>
      <c r="C229" s="3" t="s">
        <v>11</v>
      </c>
      <c r="D229" s="3" t="s">
        <v>12</v>
      </c>
      <c r="E229" s="3" t="n">
        <v>112314</v>
      </c>
      <c r="F229" s="3" t="n">
        <v>3</v>
      </c>
      <c r="G229" s="3" t="n">
        <v>9</v>
      </c>
      <c r="H229" s="3" t="n">
        <v>12</v>
      </c>
      <c r="I229" s="3" t="s">
        <v>15</v>
      </c>
      <c r="J229" s="3" t="s">
        <v>14</v>
      </c>
      <c r="K229" s="3" t="n">
        <v>100</v>
      </c>
    </row>
    <row r="230" customFormat="false" ht="15" hidden="false" customHeight="false" outlineLevel="0" collapsed="false">
      <c r="A230" s="2" t="n">
        <v>229</v>
      </c>
      <c r="B230" s="2" t="n">
        <v>19</v>
      </c>
      <c r="C230" s="2" t="s">
        <v>17</v>
      </c>
      <c r="D230" s="2" t="s">
        <v>23</v>
      </c>
      <c r="E230" s="2" t="n">
        <v>116859</v>
      </c>
      <c r="F230" s="2" t="n">
        <v>2</v>
      </c>
      <c r="G230" s="2" t="n">
        <v>2</v>
      </c>
      <c r="H230" s="2" t="n">
        <v>11</v>
      </c>
      <c r="I230" s="2" t="s">
        <v>15</v>
      </c>
      <c r="J230" s="2" t="s">
        <v>19</v>
      </c>
      <c r="K230" s="2" t="n">
        <v>54.35</v>
      </c>
    </row>
    <row r="231" customFormat="false" ht="15" hidden="false" customHeight="false" outlineLevel="0" collapsed="false">
      <c r="A231" s="3" t="n">
        <v>230</v>
      </c>
      <c r="B231" s="3" t="n">
        <v>19</v>
      </c>
      <c r="C231" s="3" t="s">
        <v>11</v>
      </c>
      <c r="D231" s="3" t="s">
        <v>20</v>
      </c>
      <c r="E231" s="3" t="n">
        <v>81058</v>
      </c>
      <c r="F231" s="3" t="n">
        <v>6</v>
      </c>
      <c r="G231" s="3" t="n">
        <v>6</v>
      </c>
      <c r="H231" s="3" t="n">
        <v>19</v>
      </c>
      <c r="I231" s="3" t="s">
        <v>21</v>
      </c>
      <c r="J231" s="3" t="s">
        <v>19</v>
      </c>
      <c r="K231" s="3" t="n">
        <v>92.79</v>
      </c>
    </row>
    <row r="232" customFormat="false" ht="15" hidden="false" customHeight="false" outlineLevel="0" collapsed="false">
      <c r="A232" s="2" t="n">
        <v>231</v>
      </c>
      <c r="B232" s="2" t="n">
        <v>45</v>
      </c>
      <c r="C232" s="2" t="s">
        <v>11</v>
      </c>
      <c r="D232" s="2" t="s">
        <v>22</v>
      </c>
      <c r="E232" s="2" t="n">
        <v>48802</v>
      </c>
      <c r="F232" s="2" t="n">
        <v>1</v>
      </c>
      <c r="G232" s="2" t="n">
        <v>10</v>
      </c>
      <c r="H232" s="2" t="n">
        <v>5</v>
      </c>
      <c r="I232" s="2" t="s">
        <v>15</v>
      </c>
      <c r="J232" s="2" t="s">
        <v>16</v>
      </c>
      <c r="K232" s="2" t="n">
        <v>82.12</v>
      </c>
    </row>
    <row r="233" customFormat="false" ht="15" hidden="false" customHeight="false" outlineLevel="0" collapsed="false">
      <c r="A233" s="3" t="n">
        <v>232</v>
      </c>
      <c r="B233" s="3" t="n">
        <v>40</v>
      </c>
      <c r="C233" s="3" t="s">
        <v>11</v>
      </c>
      <c r="D233" s="3" t="s">
        <v>22</v>
      </c>
      <c r="E233" s="3" t="n">
        <v>59862</v>
      </c>
      <c r="F233" s="3" t="n">
        <v>8</v>
      </c>
      <c r="G233" s="3" t="n">
        <v>5</v>
      </c>
      <c r="H233" s="3" t="n">
        <v>16</v>
      </c>
      <c r="I233" s="3" t="s">
        <v>13</v>
      </c>
      <c r="J233" s="3" t="s">
        <v>14</v>
      </c>
      <c r="K233" s="3" t="n">
        <v>90.61</v>
      </c>
    </row>
    <row r="234" customFormat="false" ht="15" hidden="false" customHeight="false" outlineLevel="0" collapsed="false">
      <c r="A234" s="2" t="n">
        <v>233</v>
      </c>
      <c r="B234" s="2" t="n">
        <v>54</v>
      </c>
      <c r="C234" s="2" t="s">
        <v>11</v>
      </c>
      <c r="D234" s="2" t="s">
        <v>23</v>
      </c>
      <c r="E234" s="2" t="n">
        <v>39971</v>
      </c>
      <c r="F234" s="2" t="n">
        <v>1</v>
      </c>
      <c r="G234" s="2" t="n">
        <v>4</v>
      </c>
      <c r="H234" s="2" t="n">
        <v>17</v>
      </c>
      <c r="I234" s="2" t="s">
        <v>21</v>
      </c>
      <c r="J234" s="2" t="s">
        <v>19</v>
      </c>
      <c r="K234" s="2" t="n">
        <v>68.62</v>
      </c>
    </row>
    <row r="235" customFormat="false" ht="15" hidden="false" customHeight="false" outlineLevel="0" collapsed="false">
      <c r="A235" s="3" t="n">
        <v>234</v>
      </c>
      <c r="B235" s="3" t="n">
        <v>49</v>
      </c>
      <c r="C235" s="3" t="s">
        <v>11</v>
      </c>
      <c r="D235" s="3" t="s">
        <v>23</v>
      </c>
      <c r="E235" s="3" t="n">
        <v>87032</v>
      </c>
      <c r="F235" s="3" t="n">
        <v>10</v>
      </c>
      <c r="G235" s="3" t="n">
        <v>10</v>
      </c>
      <c r="H235" s="3" t="n">
        <v>3</v>
      </c>
      <c r="I235" s="3" t="s">
        <v>21</v>
      </c>
      <c r="J235" s="3" t="s">
        <v>14</v>
      </c>
      <c r="K235" s="3" t="n">
        <v>100</v>
      </c>
    </row>
    <row r="236" customFormat="false" ht="15" hidden="false" customHeight="false" outlineLevel="0" collapsed="false">
      <c r="A236" s="2" t="n">
        <v>235</v>
      </c>
      <c r="B236" s="2" t="n">
        <v>50</v>
      </c>
      <c r="C236" s="2" t="s">
        <v>11</v>
      </c>
      <c r="D236" s="2" t="s">
        <v>23</v>
      </c>
      <c r="E236" s="2" t="n">
        <v>70729</v>
      </c>
      <c r="F236" s="2" t="n">
        <v>2</v>
      </c>
      <c r="G236" s="2" t="n">
        <v>10</v>
      </c>
      <c r="H236" s="2" t="n">
        <v>12</v>
      </c>
      <c r="I236" s="2" t="s">
        <v>15</v>
      </c>
      <c r="J236" s="2" t="s">
        <v>14</v>
      </c>
      <c r="K236" s="2" t="n">
        <v>100</v>
      </c>
    </row>
    <row r="237" customFormat="false" ht="15" hidden="false" customHeight="false" outlineLevel="0" collapsed="false">
      <c r="A237" s="3" t="n">
        <v>236</v>
      </c>
      <c r="B237" s="3" t="n">
        <v>18</v>
      </c>
      <c r="C237" s="3" t="s">
        <v>11</v>
      </c>
      <c r="D237" s="3" t="s">
        <v>22</v>
      </c>
      <c r="E237" s="3" t="n">
        <v>38515</v>
      </c>
      <c r="F237" s="3" t="n">
        <v>3</v>
      </c>
      <c r="G237" s="3" t="n">
        <v>2</v>
      </c>
      <c r="H237" s="3" t="n">
        <v>2</v>
      </c>
      <c r="I237" s="3" t="s">
        <v>21</v>
      </c>
      <c r="J237" s="3" t="s">
        <v>14</v>
      </c>
      <c r="K237" s="3" t="n">
        <v>38.9</v>
      </c>
    </row>
    <row r="238" customFormat="false" ht="15" hidden="false" customHeight="false" outlineLevel="0" collapsed="false">
      <c r="A238" s="2" t="n">
        <v>237</v>
      </c>
      <c r="B238" s="2" t="n">
        <v>36</v>
      </c>
      <c r="C238" s="2" t="s">
        <v>11</v>
      </c>
      <c r="D238" s="2" t="s">
        <v>23</v>
      </c>
      <c r="E238" s="2" t="n">
        <v>54076</v>
      </c>
      <c r="F238" s="2" t="n">
        <v>4</v>
      </c>
      <c r="G238" s="2" t="n">
        <v>8</v>
      </c>
      <c r="H238" s="2" t="n">
        <v>17</v>
      </c>
      <c r="I238" s="2" t="s">
        <v>13</v>
      </c>
      <c r="J238" s="2" t="s">
        <v>19</v>
      </c>
      <c r="K238" s="2" t="n">
        <v>80.38</v>
      </c>
    </row>
    <row r="239" customFormat="false" ht="15" hidden="false" customHeight="false" outlineLevel="0" collapsed="false">
      <c r="A239" s="3" t="n">
        <v>238</v>
      </c>
      <c r="B239" s="3" t="n">
        <v>19</v>
      </c>
      <c r="C239" s="3" t="s">
        <v>17</v>
      </c>
      <c r="D239" s="3" t="s">
        <v>20</v>
      </c>
      <c r="E239" s="3" t="n">
        <v>67148</v>
      </c>
      <c r="F239" s="3" t="n">
        <v>5</v>
      </c>
      <c r="G239" s="3" t="n">
        <v>3</v>
      </c>
      <c r="H239" s="3" t="n">
        <v>20</v>
      </c>
      <c r="I239" s="3" t="s">
        <v>15</v>
      </c>
      <c r="J239" s="3" t="s">
        <v>19</v>
      </c>
      <c r="K239" s="3" t="n">
        <v>82.28</v>
      </c>
    </row>
    <row r="240" customFormat="false" ht="15" hidden="false" customHeight="false" outlineLevel="0" collapsed="false">
      <c r="A240" s="2" t="n">
        <v>239</v>
      </c>
      <c r="B240" s="2" t="n">
        <v>61</v>
      </c>
      <c r="C240" s="2" t="s">
        <v>17</v>
      </c>
      <c r="D240" s="2" t="s">
        <v>20</v>
      </c>
      <c r="E240" s="2" t="n">
        <v>77342</v>
      </c>
      <c r="F240" s="2" t="n">
        <v>4</v>
      </c>
      <c r="G240" s="2" t="n">
        <v>4</v>
      </c>
      <c r="H240" s="2" t="n">
        <v>12</v>
      </c>
      <c r="I240" s="2" t="s">
        <v>15</v>
      </c>
      <c r="J240" s="2" t="s">
        <v>16</v>
      </c>
      <c r="K240" s="2" t="n">
        <v>90.22</v>
      </c>
    </row>
    <row r="241" customFormat="false" ht="15" hidden="false" customHeight="false" outlineLevel="0" collapsed="false">
      <c r="A241" s="3" t="n">
        <v>240</v>
      </c>
      <c r="B241" s="3" t="n">
        <v>43</v>
      </c>
      <c r="C241" s="3" t="s">
        <v>11</v>
      </c>
      <c r="D241" s="3" t="s">
        <v>22</v>
      </c>
      <c r="E241" s="3" t="n">
        <v>65400</v>
      </c>
      <c r="F241" s="3" t="n">
        <v>6</v>
      </c>
      <c r="G241" s="3" t="n">
        <v>9</v>
      </c>
      <c r="H241" s="3" t="n">
        <v>12</v>
      </c>
      <c r="I241" s="3" t="s">
        <v>13</v>
      </c>
      <c r="J241" s="3" t="s">
        <v>16</v>
      </c>
      <c r="K241" s="3" t="n">
        <v>100</v>
      </c>
    </row>
    <row r="242" customFormat="false" ht="15" hidden="false" customHeight="false" outlineLevel="0" collapsed="false">
      <c r="A242" s="2" t="n">
        <v>241</v>
      </c>
      <c r="B242" s="2" t="n">
        <v>49</v>
      </c>
      <c r="C242" s="2" t="s">
        <v>11</v>
      </c>
      <c r="D242" s="2" t="s">
        <v>18</v>
      </c>
      <c r="E242" s="2" t="n">
        <v>75737</v>
      </c>
      <c r="F242" s="2" t="n">
        <v>3</v>
      </c>
      <c r="G242" s="2" t="n">
        <v>9</v>
      </c>
      <c r="H242" s="2" t="n">
        <v>12</v>
      </c>
      <c r="I242" s="2" t="s">
        <v>21</v>
      </c>
      <c r="J242" s="2" t="s">
        <v>14</v>
      </c>
      <c r="K242" s="2" t="n">
        <v>100</v>
      </c>
    </row>
    <row r="243" customFormat="false" ht="15" hidden="false" customHeight="false" outlineLevel="0" collapsed="false">
      <c r="A243" s="3" t="n">
        <v>242</v>
      </c>
      <c r="B243" s="3" t="n">
        <v>23</v>
      </c>
      <c r="C243" s="3" t="s">
        <v>17</v>
      </c>
      <c r="D243" s="3" t="s">
        <v>18</v>
      </c>
      <c r="E243" s="3" t="n">
        <v>57069</v>
      </c>
      <c r="F243" s="3" t="n">
        <v>8</v>
      </c>
      <c r="G243" s="3" t="n">
        <v>6</v>
      </c>
      <c r="H243" s="3" t="n">
        <v>8</v>
      </c>
      <c r="I243" s="3" t="s">
        <v>21</v>
      </c>
      <c r="J243" s="3" t="s">
        <v>14</v>
      </c>
      <c r="K243" s="3" t="n">
        <v>100</v>
      </c>
    </row>
    <row r="244" customFormat="false" ht="15" hidden="false" customHeight="false" outlineLevel="0" collapsed="false">
      <c r="A244" s="2" t="n">
        <v>243</v>
      </c>
      <c r="B244" s="2" t="n">
        <v>49</v>
      </c>
      <c r="C244" s="2" t="s">
        <v>11</v>
      </c>
      <c r="D244" s="2" t="s">
        <v>18</v>
      </c>
      <c r="E244" s="2" t="n">
        <v>70679</v>
      </c>
      <c r="F244" s="2" t="n">
        <v>2</v>
      </c>
      <c r="G244" s="2" t="n">
        <v>10</v>
      </c>
      <c r="H244" s="2" t="n">
        <v>8</v>
      </c>
      <c r="I244" s="2" t="s">
        <v>15</v>
      </c>
      <c r="J244" s="2" t="s">
        <v>19</v>
      </c>
      <c r="K244" s="2" t="n">
        <v>94.05</v>
      </c>
    </row>
    <row r="245" customFormat="false" ht="15" hidden="false" customHeight="false" outlineLevel="0" collapsed="false">
      <c r="A245" s="3" t="n">
        <v>244</v>
      </c>
      <c r="B245" s="3" t="n">
        <v>21</v>
      </c>
      <c r="C245" s="3" t="s">
        <v>11</v>
      </c>
      <c r="D245" s="3" t="s">
        <v>20</v>
      </c>
      <c r="E245" s="3" t="n">
        <v>109046</v>
      </c>
      <c r="F245" s="3" t="n">
        <v>9</v>
      </c>
      <c r="G245" s="3" t="n">
        <v>3</v>
      </c>
      <c r="H245" s="3" t="n">
        <v>8</v>
      </c>
      <c r="I245" s="3" t="s">
        <v>21</v>
      </c>
      <c r="J245" s="3" t="s">
        <v>14</v>
      </c>
      <c r="K245" s="3" t="n">
        <v>97.77</v>
      </c>
    </row>
    <row r="246" customFormat="false" ht="15" hidden="false" customHeight="false" outlineLevel="0" collapsed="false">
      <c r="A246" s="2" t="n">
        <v>245</v>
      </c>
      <c r="B246" s="2" t="n">
        <v>28</v>
      </c>
      <c r="C246" s="2" t="s">
        <v>11</v>
      </c>
      <c r="D246" s="2" t="s">
        <v>12</v>
      </c>
      <c r="E246" s="2" t="n">
        <v>51702</v>
      </c>
      <c r="F246" s="2" t="n">
        <v>7</v>
      </c>
      <c r="G246" s="2" t="n">
        <v>7</v>
      </c>
      <c r="H246" s="2" t="n">
        <v>5</v>
      </c>
      <c r="I246" s="2" t="s">
        <v>13</v>
      </c>
      <c r="J246" s="2" t="s">
        <v>19</v>
      </c>
      <c r="K246" s="2" t="n">
        <v>100</v>
      </c>
    </row>
    <row r="247" customFormat="false" ht="15" hidden="false" customHeight="false" outlineLevel="0" collapsed="false">
      <c r="A247" s="3" t="n">
        <v>246</v>
      </c>
      <c r="B247" s="3" t="n">
        <v>34</v>
      </c>
      <c r="C247" s="3" t="s">
        <v>11</v>
      </c>
      <c r="D247" s="3" t="s">
        <v>18</v>
      </c>
      <c r="E247" s="3" t="n">
        <v>116036</v>
      </c>
      <c r="F247" s="3" t="n">
        <v>8</v>
      </c>
      <c r="G247" s="3" t="n">
        <v>2</v>
      </c>
      <c r="H247" s="3" t="n">
        <v>6</v>
      </c>
      <c r="I247" s="3" t="s">
        <v>21</v>
      </c>
      <c r="J247" s="3" t="s">
        <v>16</v>
      </c>
      <c r="K247" s="3" t="n">
        <v>100</v>
      </c>
    </row>
    <row r="248" customFormat="false" ht="15" hidden="false" customHeight="false" outlineLevel="0" collapsed="false">
      <c r="A248" s="2" t="n">
        <v>247</v>
      </c>
      <c r="B248" s="2" t="n">
        <v>55</v>
      </c>
      <c r="C248" s="2" t="s">
        <v>17</v>
      </c>
      <c r="D248" s="2" t="s">
        <v>12</v>
      </c>
      <c r="E248" s="2" t="n">
        <v>101153</v>
      </c>
      <c r="F248" s="2" t="n">
        <v>6</v>
      </c>
      <c r="G248" s="2" t="n">
        <v>7</v>
      </c>
      <c r="H248" s="2" t="n">
        <v>12</v>
      </c>
      <c r="I248" s="2" t="s">
        <v>13</v>
      </c>
      <c r="J248" s="2" t="s">
        <v>19</v>
      </c>
      <c r="K248" s="2" t="n">
        <v>96.7</v>
      </c>
    </row>
    <row r="249" customFormat="false" ht="15" hidden="false" customHeight="false" outlineLevel="0" collapsed="false">
      <c r="A249" s="3" t="n">
        <v>248</v>
      </c>
      <c r="B249" s="3" t="n">
        <v>41</v>
      </c>
      <c r="C249" s="3" t="s">
        <v>11</v>
      </c>
      <c r="D249" s="3" t="s">
        <v>22</v>
      </c>
      <c r="E249" s="3" t="n">
        <v>102364</v>
      </c>
      <c r="F249" s="3" t="n">
        <v>5</v>
      </c>
      <c r="G249" s="3" t="n">
        <v>4</v>
      </c>
      <c r="H249" s="3" t="n">
        <v>20</v>
      </c>
      <c r="I249" s="3" t="s">
        <v>15</v>
      </c>
      <c r="J249" s="3" t="s">
        <v>14</v>
      </c>
      <c r="K249" s="3" t="n">
        <v>100</v>
      </c>
    </row>
    <row r="250" customFormat="false" ht="15" hidden="false" customHeight="false" outlineLevel="0" collapsed="false">
      <c r="A250" s="2" t="n">
        <v>249</v>
      </c>
      <c r="B250" s="2" t="n">
        <v>22</v>
      </c>
      <c r="C250" s="2" t="s">
        <v>17</v>
      </c>
      <c r="D250" s="2" t="s">
        <v>20</v>
      </c>
      <c r="E250" s="2" t="n">
        <v>78538</v>
      </c>
      <c r="F250" s="2" t="n">
        <v>5</v>
      </c>
      <c r="G250" s="2" t="n">
        <v>6</v>
      </c>
      <c r="H250" s="2" t="n">
        <v>14</v>
      </c>
      <c r="I250" s="2" t="s">
        <v>15</v>
      </c>
      <c r="J250" s="2" t="s">
        <v>14</v>
      </c>
      <c r="K250" s="2" t="n">
        <v>100</v>
      </c>
    </row>
    <row r="251" customFormat="false" ht="15" hidden="false" customHeight="false" outlineLevel="0" collapsed="false">
      <c r="A251" s="3" t="n">
        <v>250</v>
      </c>
      <c r="B251" s="3" t="n">
        <v>69</v>
      </c>
      <c r="C251" s="3" t="s">
        <v>11</v>
      </c>
      <c r="D251" s="3" t="s">
        <v>18</v>
      </c>
      <c r="E251" s="3" t="n">
        <v>115188</v>
      </c>
      <c r="F251" s="3" t="n">
        <v>7</v>
      </c>
      <c r="G251" s="3" t="n">
        <v>9</v>
      </c>
      <c r="H251" s="3" t="n">
        <v>13</v>
      </c>
      <c r="I251" s="3" t="s">
        <v>13</v>
      </c>
      <c r="J251" s="3" t="s">
        <v>16</v>
      </c>
      <c r="K251" s="3" t="n">
        <v>100</v>
      </c>
    </row>
    <row r="252" customFormat="false" ht="15" hidden="false" customHeight="false" outlineLevel="0" collapsed="false">
      <c r="A252" s="2" t="n">
        <v>251</v>
      </c>
      <c r="B252" s="2" t="n">
        <v>51</v>
      </c>
      <c r="C252" s="2" t="s">
        <v>17</v>
      </c>
      <c r="D252" s="2" t="s">
        <v>20</v>
      </c>
      <c r="E252" s="2" t="n">
        <v>98423</v>
      </c>
      <c r="F252" s="2" t="n">
        <v>4</v>
      </c>
      <c r="G252" s="2" t="n">
        <v>7</v>
      </c>
      <c r="H252" s="2" t="n">
        <v>7</v>
      </c>
      <c r="I252" s="2" t="s">
        <v>21</v>
      </c>
      <c r="J252" s="2" t="s">
        <v>16</v>
      </c>
      <c r="K252" s="2" t="n">
        <v>92.13</v>
      </c>
    </row>
    <row r="253" customFormat="false" ht="15" hidden="false" customHeight="false" outlineLevel="0" collapsed="false">
      <c r="A253" s="3" t="n">
        <v>252</v>
      </c>
      <c r="B253" s="3" t="n">
        <v>23</v>
      </c>
      <c r="C253" s="3" t="s">
        <v>17</v>
      </c>
      <c r="D253" s="3" t="s">
        <v>22</v>
      </c>
      <c r="E253" s="3" t="n">
        <v>91710</v>
      </c>
      <c r="F253" s="3" t="n">
        <v>1</v>
      </c>
      <c r="G253" s="3" t="n">
        <v>8</v>
      </c>
      <c r="H253" s="3" t="n">
        <v>8</v>
      </c>
      <c r="I253" s="3" t="s">
        <v>21</v>
      </c>
      <c r="J253" s="3" t="s">
        <v>14</v>
      </c>
      <c r="K253" s="3" t="n">
        <v>78.48</v>
      </c>
    </row>
    <row r="254" customFormat="false" ht="15" hidden="false" customHeight="false" outlineLevel="0" collapsed="false">
      <c r="A254" s="2" t="n">
        <v>253</v>
      </c>
      <c r="B254" s="2" t="n">
        <v>39</v>
      </c>
      <c r="C254" s="2" t="s">
        <v>17</v>
      </c>
      <c r="D254" s="2" t="s">
        <v>20</v>
      </c>
      <c r="E254" s="2" t="n">
        <v>79740</v>
      </c>
      <c r="F254" s="2" t="n">
        <v>6</v>
      </c>
      <c r="G254" s="2" t="n">
        <v>9</v>
      </c>
      <c r="H254" s="2" t="n">
        <v>3</v>
      </c>
      <c r="I254" s="2" t="s">
        <v>15</v>
      </c>
      <c r="J254" s="2" t="s">
        <v>19</v>
      </c>
      <c r="K254" s="2" t="n">
        <v>93.73</v>
      </c>
    </row>
    <row r="255" customFormat="false" ht="15" hidden="false" customHeight="false" outlineLevel="0" collapsed="false">
      <c r="A255" s="3" t="n">
        <v>254</v>
      </c>
      <c r="B255" s="3" t="n">
        <v>28</v>
      </c>
      <c r="C255" s="3" t="s">
        <v>11</v>
      </c>
      <c r="D255" s="3" t="s">
        <v>23</v>
      </c>
      <c r="E255" s="3" t="n">
        <v>95195</v>
      </c>
      <c r="F255" s="3" t="n">
        <v>5</v>
      </c>
      <c r="G255" s="3" t="n">
        <v>5</v>
      </c>
      <c r="H255" s="3" t="n">
        <v>19</v>
      </c>
      <c r="I255" s="3" t="s">
        <v>21</v>
      </c>
      <c r="J255" s="3" t="s">
        <v>16</v>
      </c>
      <c r="K255" s="3" t="n">
        <v>86.09</v>
      </c>
    </row>
    <row r="256" customFormat="false" ht="15" hidden="false" customHeight="false" outlineLevel="0" collapsed="false">
      <c r="A256" s="2" t="n">
        <v>255</v>
      </c>
      <c r="B256" s="2" t="n">
        <v>65</v>
      </c>
      <c r="C256" s="2" t="s">
        <v>11</v>
      </c>
      <c r="D256" s="2" t="s">
        <v>18</v>
      </c>
      <c r="E256" s="2" t="n">
        <v>59050</v>
      </c>
      <c r="F256" s="2" t="n">
        <v>7</v>
      </c>
      <c r="G256" s="2" t="n">
        <v>1</v>
      </c>
      <c r="H256" s="2" t="n">
        <v>8</v>
      </c>
      <c r="I256" s="2" t="s">
        <v>15</v>
      </c>
      <c r="J256" s="2" t="s">
        <v>14</v>
      </c>
      <c r="K256" s="2" t="n">
        <v>66.78</v>
      </c>
    </row>
    <row r="257" customFormat="false" ht="15" hidden="false" customHeight="false" outlineLevel="0" collapsed="false">
      <c r="A257" s="3" t="n">
        <v>256</v>
      </c>
      <c r="B257" s="3" t="n">
        <v>33</v>
      </c>
      <c r="C257" s="3" t="s">
        <v>11</v>
      </c>
      <c r="D257" s="3" t="s">
        <v>20</v>
      </c>
      <c r="E257" s="3" t="n">
        <v>112862</v>
      </c>
      <c r="F257" s="3" t="n">
        <v>1</v>
      </c>
      <c r="G257" s="3" t="n">
        <v>8</v>
      </c>
      <c r="H257" s="3" t="n">
        <v>17</v>
      </c>
      <c r="I257" s="3" t="s">
        <v>13</v>
      </c>
      <c r="J257" s="3" t="s">
        <v>14</v>
      </c>
      <c r="K257" s="3" t="n">
        <v>100</v>
      </c>
    </row>
    <row r="258" customFormat="false" ht="15" hidden="false" customHeight="false" outlineLevel="0" collapsed="false">
      <c r="A258" s="2" t="n">
        <v>257</v>
      </c>
      <c r="B258" s="2" t="n">
        <v>50</v>
      </c>
      <c r="C258" s="2" t="s">
        <v>17</v>
      </c>
      <c r="D258" s="2" t="s">
        <v>20</v>
      </c>
      <c r="E258" s="2" t="n">
        <v>39759</v>
      </c>
      <c r="F258" s="2" t="n">
        <v>7</v>
      </c>
      <c r="G258" s="2" t="n">
        <v>4</v>
      </c>
      <c r="H258" s="2" t="n">
        <v>6</v>
      </c>
      <c r="I258" s="2" t="s">
        <v>15</v>
      </c>
      <c r="J258" s="2" t="s">
        <v>16</v>
      </c>
      <c r="K258" s="2" t="n">
        <v>82.24</v>
      </c>
    </row>
    <row r="259" customFormat="false" ht="15" hidden="false" customHeight="false" outlineLevel="0" collapsed="false">
      <c r="A259" s="3" t="n">
        <v>258</v>
      </c>
      <c r="B259" s="3" t="n">
        <v>26</v>
      </c>
      <c r="C259" s="3" t="s">
        <v>11</v>
      </c>
      <c r="D259" s="3" t="s">
        <v>20</v>
      </c>
      <c r="E259" s="3" t="n">
        <v>115027</v>
      </c>
      <c r="F259" s="3" t="n">
        <v>10</v>
      </c>
      <c r="G259" s="3" t="n">
        <v>6</v>
      </c>
      <c r="H259" s="3" t="n">
        <v>20</v>
      </c>
      <c r="I259" s="3" t="s">
        <v>15</v>
      </c>
      <c r="J259" s="3" t="s">
        <v>16</v>
      </c>
      <c r="K259" s="3" t="n">
        <v>100</v>
      </c>
    </row>
    <row r="260" customFormat="false" ht="15" hidden="false" customHeight="false" outlineLevel="0" collapsed="false">
      <c r="A260" s="2" t="n">
        <v>259</v>
      </c>
      <c r="B260" s="2" t="n">
        <v>23</v>
      </c>
      <c r="C260" s="2" t="s">
        <v>11</v>
      </c>
      <c r="D260" s="2" t="s">
        <v>22</v>
      </c>
      <c r="E260" s="2" t="n">
        <v>31712</v>
      </c>
      <c r="F260" s="2" t="n">
        <v>2</v>
      </c>
      <c r="G260" s="2" t="n">
        <v>7</v>
      </c>
      <c r="H260" s="2" t="n">
        <v>14</v>
      </c>
      <c r="I260" s="2" t="s">
        <v>21</v>
      </c>
      <c r="J260" s="2" t="s">
        <v>16</v>
      </c>
      <c r="K260" s="2" t="n">
        <v>69.13</v>
      </c>
    </row>
    <row r="261" customFormat="false" ht="15" hidden="false" customHeight="false" outlineLevel="0" collapsed="false">
      <c r="A261" s="3" t="n">
        <v>260</v>
      </c>
      <c r="B261" s="3" t="n">
        <v>33</v>
      </c>
      <c r="C261" s="3" t="s">
        <v>17</v>
      </c>
      <c r="D261" s="3" t="s">
        <v>18</v>
      </c>
      <c r="E261" s="3" t="n">
        <v>78564</v>
      </c>
      <c r="F261" s="3" t="n">
        <v>7</v>
      </c>
      <c r="G261" s="3" t="n">
        <v>5</v>
      </c>
      <c r="H261" s="3" t="n">
        <v>20</v>
      </c>
      <c r="I261" s="3" t="s">
        <v>15</v>
      </c>
      <c r="J261" s="3" t="s">
        <v>19</v>
      </c>
      <c r="K261" s="3" t="n">
        <v>100</v>
      </c>
    </row>
    <row r="262" customFormat="false" ht="15" hidden="false" customHeight="false" outlineLevel="0" collapsed="false">
      <c r="A262" s="2" t="n">
        <v>261</v>
      </c>
      <c r="B262" s="2" t="n">
        <v>46</v>
      </c>
      <c r="C262" s="2" t="s">
        <v>11</v>
      </c>
      <c r="D262" s="2" t="s">
        <v>18</v>
      </c>
      <c r="E262" s="2" t="n">
        <v>79558</v>
      </c>
      <c r="F262" s="2" t="n">
        <v>10</v>
      </c>
      <c r="G262" s="2" t="n">
        <v>9</v>
      </c>
      <c r="H262" s="2" t="n">
        <v>12</v>
      </c>
      <c r="I262" s="2" t="s">
        <v>13</v>
      </c>
      <c r="J262" s="2" t="s">
        <v>16</v>
      </c>
      <c r="K262" s="2" t="n">
        <v>100</v>
      </c>
    </row>
    <row r="263" customFormat="false" ht="15" hidden="false" customHeight="false" outlineLevel="0" collapsed="false">
      <c r="A263" s="3" t="n">
        <v>262</v>
      </c>
      <c r="B263" s="3" t="n">
        <v>20</v>
      </c>
      <c r="C263" s="3" t="s">
        <v>17</v>
      </c>
      <c r="D263" s="3" t="s">
        <v>23</v>
      </c>
      <c r="E263" s="3" t="n">
        <v>119233</v>
      </c>
      <c r="F263" s="3" t="n">
        <v>2</v>
      </c>
      <c r="G263" s="3" t="n">
        <v>1</v>
      </c>
      <c r="H263" s="3" t="n">
        <v>15</v>
      </c>
      <c r="I263" s="3" t="s">
        <v>13</v>
      </c>
      <c r="J263" s="3" t="s">
        <v>19</v>
      </c>
      <c r="K263" s="3" t="n">
        <v>73.23</v>
      </c>
    </row>
    <row r="264" customFormat="false" ht="15" hidden="false" customHeight="false" outlineLevel="0" collapsed="false">
      <c r="A264" s="2" t="n">
        <v>263</v>
      </c>
      <c r="B264" s="2" t="n">
        <v>37</v>
      </c>
      <c r="C264" s="2" t="s">
        <v>11</v>
      </c>
      <c r="D264" s="2" t="s">
        <v>23</v>
      </c>
      <c r="E264" s="2" t="n">
        <v>93883</v>
      </c>
      <c r="F264" s="2" t="n">
        <v>3</v>
      </c>
      <c r="G264" s="2" t="n">
        <v>8</v>
      </c>
      <c r="H264" s="2" t="n">
        <v>12</v>
      </c>
      <c r="I264" s="2" t="s">
        <v>15</v>
      </c>
      <c r="J264" s="2" t="s">
        <v>19</v>
      </c>
      <c r="K264" s="2" t="n">
        <v>89.01</v>
      </c>
    </row>
    <row r="265" customFormat="false" ht="15" hidden="false" customHeight="false" outlineLevel="0" collapsed="false">
      <c r="A265" s="3" t="n">
        <v>264</v>
      </c>
      <c r="B265" s="3" t="n">
        <v>53</v>
      </c>
      <c r="C265" s="3" t="s">
        <v>17</v>
      </c>
      <c r="D265" s="3" t="s">
        <v>20</v>
      </c>
      <c r="E265" s="3" t="n">
        <v>55430</v>
      </c>
      <c r="F265" s="3" t="n">
        <v>7</v>
      </c>
      <c r="G265" s="3" t="n">
        <v>7</v>
      </c>
      <c r="H265" s="3" t="n">
        <v>16</v>
      </c>
      <c r="I265" s="3" t="s">
        <v>15</v>
      </c>
      <c r="J265" s="3" t="s">
        <v>16</v>
      </c>
      <c r="K265" s="3" t="n">
        <v>100</v>
      </c>
    </row>
    <row r="266" customFormat="false" ht="15" hidden="false" customHeight="false" outlineLevel="0" collapsed="false">
      <c r="A266" s="2" t="n">
        <v>265</v>
      </c>
      <c r="B266" s="2" t="n">
        <v>36</v>
      </c>
      <c r="C266" s="2" t="s">
        <v>17</v>
      </c>
      <c r="D266" s="2" t="s">
        <v>18</v>
      </c>
      <c r="E266" s="2" t="n">
        <v>53933</v>
      </c>
      <c r="F266" s="2" t="n">
        <v>2</v>
      </c>
      <c r="G266" s="2" t="n">
        <v>3</v>
      </c>
      <c r="H266" s="2" t="n">
        <v>14</v>
      </c>
      <c r="I266" s="2" t="s">
        <v>21</v>
      </c>
      <c r="J266" s="2" t="s">
        <v>19</v>
      </c>
      <c r="K266" s="2" t="n">
        <v>55.66</v>
      </c>
    </row>
    <row r="267" customFormat="false" ht="15" hidden="false" customHeight="false" outlineLevel="0" collapsed="false">
      <c r="A267" s="3" t="n">
        <v>266</v>
      </c>
      <c r="B267" s="3" t="n">
        <v>43</v>
      </c>
      <c r="C267" s="3" t="s">
        <v>17</v>
      </c>
      <c r="D267" s="3" t="s">
        <v>18</v>
      </c>
      <c r="E267" s="3" t="n">
        <v>117169</v>
      </c>
      <c r="F267" s="3" t="n">
        <v>4</v>
      </c>
      <c r="G267" s="3" t="n">
        <v>1</v>
      </c>
      <c r="H267" s="3" t="n">
        <v>2</v>
      </c>
      <c r="I267" s="3" t="s">
        <v>13</v>
      </c>
      <c r="J267" s="3" t="s">
        <v>19</v>
      </c>
      <c r="K267" s="3" t="n">
        <v>70.48</v>
      </c>
    </row>
    <row r="268" customFormat="false" ht="15" hidden="false" customHeight="false" outlineLevel="0" collapsed="false">
      <c r="A268" s="2" t="n">
        <v>267</v>
      </c>
      <c r="B268" s="2" t="n">
        <v>20</v>
      </c>
      <c r="C268" s="2" t="s">
        <v>17</v>
      </c>
      <c r="D268" s="2" t="s">
        <v>20</v>
      </c>
      <c r="E268" s="2" t="n">
        <v>90651</v>
      </c>
      <c r="F268" s="2" t="n">
        <v>9</v>
      </c>
      <c r="G268" s="2" t="n">
        <v>1</v>
      </c>
      <c r="H268" s="2" t="n">
        <v>11</v>
      </c>
      <c r="I268" s="2" t="s">
        <v>13</v>
      </c>
      <c r="J268" s="2" t="s">
        <v>19</v>
      </c>
      <c r="K268" s="2" t="n">
        <v>80.56</v>
      </c>
    </row>
    <row r="269" customFormat="false" ht="15" hidden="false" customHeight="false" outlineLevel="0" collapsed="false">
      <c r="A269" s="3" t="n">
        <v>268</v>
      </c>
      <c r="B269" s="3" t="n">
        <v>36</v>
      </c>
      <c r="C269" s="3" t="s">
        <v>17</v>
      </c>
      <c r="D269" s="3" t="s">
        <v>12</v>
      </c>
      <c r="E269" s="3" t="n">
        <v>104142</v>
      </c>
      <c r="F269" s="3" t="n">
        <v>6</v>
      </c>
      <c r="G269" s="3" t="n">
        <v>1</v>
      </c>
      <c r="H269" s="3" t="n">
        <v>6</v>
      </c>
      <c r="I269" s="3" t="s">
        <v>13</v>
      </c>
      <c r="J269" s="3" t="s">
        <v>16</v>
      </c>
      <c r="K269" s="3" t="n">
        <v>79.47</v>
      </c>
    </row>
    <row r="270" customFormat="false" ht="15" hidden="false" customHeight="false" outlineLevel="0" collapsed="false">
      <c r="A270" s="2" t="n">
        <v>269</v>
      </c>
      <c r="B270" s="2" t="n">
        <v>37</v>
      </c>
      <c r="C270" s="2" t="s">
        <v>17</v>
      </c>
      <c r="D270" s="2" t="s">
        <v>18</v>
      </c>
      <c r="E270" s="2" t="n">
        <v>102111</v>
      </c>
      <c r="F270" s="2" t="n">
        <v>8</v>
      </c>
      <c r="G270" s="2" t="n">
        <v>9</v>
      </c>
      <c r="H270" s="2" t="n">
        <v>19</v>
      </c>
      <c r="I270" s="2" t="s">
        <v>13</v>
      </c>
      <c r="J270" s="2" t="s">
        <v>14</v>
      </c>
      <c r="K270" s="2" t="n">
        <v>100</v>
      </c>
    </row>
    <row r="271" customFormat="false" ht="15" hidden="false" customHeight="false" outlineLevel="0" collapsed="false">
      <c r="A271" s="3" t="n">
        <v>270</v>
      </c>
      <c r="B271" s="3" t="n">
        <v>49</v>
      </c>
      <c r="C271" s="3" t="s">
        <v>17</v>
      </c>
      <c r="D271" s="3" t="s">
        <v>20</v>
      </c>
      <c r="E271" s="3" t="n">
        <v>70789</v>
      </c>
      <c r="F271" s="3" t="n">
        <v>9</v>
      </c>
      <c r="G271" s="3" t="n">
        <v>4</v>
      </c>
      <c r="H271" s="3" t="n">
        <v>16</v>
      </c>
      <c r="I271" s="3" t="s">
        <v>21</v>
      </c>
      <c r="J271" s="3" t="s">
        <v>19</v>
      </c>
      <c r="K271" s="3" t="n">
        <v>100</v>
      </c>
    </row>
    <row r="272" customFormat="false" ht="15" hidden="false" customHeight="false" outlineLevel="0" collapsed="false">
      <c r="A272" s="2" t="n">
        <v>271</v>
      </c>
      <c r="B272" s="2" t="n">
        <v>24</v>
      </c>
      <c r="C272" s="2" t="s">
        <v>11</v>
      </c>
      <c r="D272" s="2" t="s">
        <v>20</v>
      </c>
      <c r="E272" s="2" t="n">
        <v>99700</v>
      </c>
      <c r="F272" s="2" t="n">
        <v>9</v>
      </c>
      <c r="G272" s="2" t="n">
        <v>5</v>
      </c>
      <c r="H272" s="2" t="n">
        <v>19</v>
      </c>
      <c r="I272" s="2" t="s">
        <v>15</v>
      </c>
      <c r="J272" s="2" t="s">
        <v>16</v>
      </c>
      <c r="K272" s="2" t="n">
        <v>100</v>
      </c>
    </row>
    <row r="273" customFormat="false" ht="15" hidden="false" customHeight="false" outlineLevel="0" collapsed="false">
      <c r="A273" s="3" t="n">
        <v>272</v>
      </c>
      <c r="B273" s="3" t="n">
        <v>69</v>
      </c>
      <c r="C273" s="3" t="s">
        <v>17</v>
      </c>
      <c r="D273" s="3" t="s">
        <v>12</v>
      </c>
      <c r="E273" s="3" t="n">
        <v>74176</v>
      </c>
      <c r="F273" s="3" t="n">
        <v>7</v>
      </c>
      <c r="G273" s="3" t="n">
        <v>6</v>
      </c>
      <c r="H273" s="3" t="n">
        <v>11</v>
      </c>
      <c r="I273" s="3" t="s">
        <v>15</v>
      </c>
      <c r="J273" s="3" t="s">
        <v>14</v>
      </c>
      <c r="K273" s="3" t="n">
        <v>100</v>
      </c>
    </row>
    <row r="274" customFormat="false" ht="15" hidden="false" customHeight="false" outlineLevel="0" collapsed="false">
      <c r="A274" s="2" t="n">
        <v>273</v>
      </c>
      <c r="B274" s="2" t="n">
        <v>58</v>
      </c>
      <c r="C274" s="2" t="s">
        <v>11</v>
      </c>
      <c r="D274" s="2" t="s">
        <v>23</v>
      </c>
      <c r="E274" s="2" t="n">
        <v>88410</v>
      </c>
      <c r="F274" s="2" t="n">
        <v>10</v>
      </c>
      <c r="G274" s="2" t="n">
        <v>1</v>
      </c>
      <c r="H274" s="2" t="n">
        <v>19</v>
      </c>
      <c r="I274" s="2" t="s">
        <v>15</v>
      </c>
      <c r="J274" s="2" t="s">
        <v>16</v>
      </c>
      <c r="K274" s="2" t="n">
        <v>100</v>
      </c>
    </row>
    <row r="275" customFormat="false" ht="15" hidden="false" customHeight="false" outlineLevel="0" collapsed="false">
      <c r="A275" s="3" t="n">
        <v>274</v>
      </c>
      <c r="B275" s="3" t="n">
        <v>50</v>
      </c>
      <c r="C275" s="3" t="s">
        <v>11</v>
      </c>
      <c r="D275" s="3" t="s">
        <v>20</v>
      </c>
      <c r="E275" s="3" t="n">
        <v>99062</v>
      </c>
      <c r="F275" s="3" t="n">
        <v>2</v>
      </c>
      <c r="G275" s="3" t="n">
        <v>8</v>
      </c>
      <c r="H275" s="3" t="n">
        <v>1</v>
      </c>
      <c r="I275" s="3" t="s">
        <v>21</v>
      </c>
      <c r="J275" s="3" t="s">
        <v>16</v>
      </c>
      <c r="K275" s="3" t="n">
        <v>90.36</v>
      </c>
    </row>
    <row r="276" customFormat="false" ht="15" hidden="false" customHeight="false" outlineLevel="0" collapsed="false">
      <c r="A276" s="2" t="n">
        <v>275</v>
      </c>
      <c r="B276" s="2" t="n">
        <v>57</v>
      </c>
      <c r="C276" s="2" t="s">
        <v>11</v>
      </c>
      <c r="D276" s="2" t="s">
        <v>18</v>
      </c>
      <c r="E276" s="2" t="n">
        <v>70081</v>
      </c>
      <c r="F276" s="2" t="n">
        <v>6</v>
      </c>
      <c r="G276" s="2" t="n">
        <v>1</v>
      </c>
      <c r="H276" s="2" t="n">
        <v>18</v>
      </c>
      <c r="I276" s="2" t="s">
        <v>15</v>
      </c>
      <c r="J276" s="2" t="s">
        <v>14</v>
      </c>
      <c r="K276" s="2" t="n">
        <v>81.13</v>
      </c>
    </row>
    <row r="277" customFormat="false" ht="15" hidden="false" customHeight="false" outlineLevel="0" collapsed="false">
      <c r="A277" s="3" t="n">
        <v>276</v>
      </c>
      <c r="B277" s="3" t="n">
        <v>56</v>
      </c>
      <c r="C277" s="3" t="s">
        <v>17</v>
      </c>
      <c r="D277" s="3" t="s">
        <v>23</v>
      </c>
      <c r="E277" s="3" t="n">
        <v>84334</v>
      </c>
      <c r="F277" s="3" t="n">
        <v>8</v>
      </c>
      <c r="G277" s="3" t="n">
        <v>10</v>
      </c>
      <c r="H277" s="3" t="n">
        <v>5</v>
      </c>
      <c r="I277" s="3" t="s">
        <v>13</v>
      </c>
      <c r="J277" s="3" t="s">
        <v>14</v>
      </c>
      <c r="K277" s="3" t="n">
        <v>100</v>
      </c>
    </row>
    <row r="278" customFormat="false" ht="15" hidden="false" customHeight="false" outlineLevel="0" collapsed="false">
      <c r="A278" s="2" t="n">
        <v>277</v>
      </c>
      <c r="B278" s="2" t="n">
        <v>35</v>
      </c>
      <c r="C278" s="2" t="s">
        <v>11</v>
      </c>
      <c r="D278" s="2" t="s">
        <v>23</v>
      </c>
      <c r="E278" s="2" t="n">
        <v>69195</v>
      </c>
      <c r="F278" s="2" t="n">
        <v>4</v>
      </c>
      <c r="G278" s="2" t="n">
        <v>6</v>
      </c>
      <c r="H278" s="2" t="n">
        <v>12</v>
      </c>
      <c r="I278" s="2" t="s">
        <v>21</v>
      </c>
      <c r="J278" s="2" t="s">
        <v>19</v>
      </c>
      <c r="K278" s="2" t="n">
        <v>81.36</v>
      </c>
    </row>
    <row r="279" customFormat="false" ht="15" hidden="false" customHeight="false" outlineLevel="0" collapsed="false">
      <c r="A279" s="3" t="n">
        <v>278</v>
      </c>
      <c r="B279" s="3" t="n">
        <v>57</v>
      </c>
      <c r="C279" s="3" t="s">
        <v>17</v>
      </c>
      <c r="D279" s="3" t="s">
        <v>23</v>
      </c>
      <c r="E279" s="3" t="n">
        <v>115698</v>
      </c>
      <c r="F279" s="3" t="n">
        <v>9</v>
      </c>
      <c r="G279" s="3" t="n">
        <v>4</v>
      </c>
      <c r="H279" s="3" t="n">
        <v>11</v>
      </c>
      <c r="I279" s="3" t="s">
        <v>13</v>
      </c>
      <c r="J279" s="3" t="s">
        <v>16</v>
      </c>
      <c r="K279" s="3" t="n">
        <v>100</v>
      </c>
    </row>
    <row r="280" customFormat="false" ht="15" hidden="false" customHeight="false" outlineLevel="0" collapsed="false">
      <c r="A280" s="2" t="n">
        <v>279</v>
      </c>
      <c r="B280" s="2" t="n">
        <v>18</v>
      </c>
      <c r="C280" s="2" t="s">
        <v>11</v>
      </c>
      <c r="D280" s="2" t="s">
        <v>20</v>
      </c>
      <c r="E280" s="2" t="n">
        <v>80784</v>
      </c>
      <c r="F280" s="2" t="n">
        <v>8</v>
      </c>
      <c r="G280" s="2" t="n">
        <v>2</v>
      </c>
      <c r="H280" s="2" t="n">
        <v>20</v>
      </c>
      <c r="I280" s="2" t="s">
        <v>13</v>
      </c>
      <c r="J280" s="2" t="s">
        <v>16</v>
      </c>
      <c r="K280" s="2" t="n">
        <v>76.92</v>
      </c>
    </row>
    <row r="281" customFormat="false" ht="15" hidden="false" customHeight="false" outlineLevel="0" collapsed="false">
      <c r="A281" s="3" t="n">
        <v>280</v>
      </c>
      <c r="B281" s="3" t="n">
        <v>28</v>
      </c>
      <c r="C281" s="3" t="s">
        <v>17</v>
      </c>
      <c r="D281" s="3" t="s">
        <v>18</v>
      </c>
      <c r="E281" s="3" t="n">
        <v>41227</v>
      </c>
      <c r="F281" s="3" t="n">
        <v>1</v>
      </c>
      <c r="G281" s="3" t="n">
        <v>6</v>
      </c>
      <c r="H281" s="3" t="n">
        <v>2</v>
      </c>
      <c r="I281" s="3" t="s">
        <v>13</v>
      </c>
      <c r="J281" s="3" t="s">
        <v>16</v>
      </c>
      <c r="K281" s="3" t="n">
        <v>37.65</v>
      </c>
    </row>
    <row r="282" customFormat="false" ht="15" hidden="false" customHeight="false" outlineLevel="0" collapsed="false">
      <c r="A282" s="2" t="n">
        <v>281</v>
      </c>
      <c r="B282" s="2" t="n">
        <v>45</v>
      </c>
      <c r="C282" s="2" t="s">
        <v>17</v>
      </c>
      <c r="D282" s="2" t="s">
        <v>12</v>
      </c>
      <c r="E282" s="2" t="n">
        <v>33831</v>
      </c>
      <c r="F282" s="2" t="n">
        <v>8</v>
      </c>
      <c r="G282" s="2" t="n">
        <v>2</v>
      </c>
      <c r="H282" s="2" t="n">
        <v>7</v>
      </c>
      <c r="I282" s="2" t="s">
        <v>13</v>
      </c>
      <c r="J282" s="2" t="s">
        <v>19</v>
      </c>
      <c r="K282" s="2" t="n">
        <v>67.54</v>
      </c>
    </row>
    <row r="283" customFormat="false" ht="15" hidden="false" customHeight="false" outlineLevel="0" collapsed="false">
      <c r="A283" s="3" t="n">
        <v>282</v>
      </c>
      <c r="B283" s="3" t="n">
        <v>42</v>
      </c>
      <c r="C283" s="3" t="s">
        <v>11</v>
      </c>
      <c r="D283" s="3" t="s">
        <v>22</v>
      </c>
      <c r="E283" s="3" t="n">
        <v>31937</v>
      </c>
      <c r="F283" s="3" t="n">
        <v>9</v>
      </c>
      <c r="G283" s="3" t="n">
        <v>8</v>
      </c>
      <c r="H283" s="3" t="n">
        <v>10</v>
      </c>
      <c r="I283" s="3" t="s">
        <v>21</v>
      </c>
      <c r="J283" s="3" t="s">
        <v>19</v>
      </c>
      <c r="K283" s="3" t="n">
        <v>100</v>
      </c>
    </row>
    <row r="284" customFormat="false" ht="15" hidden="false" customHeight="false" outlineLevel="0" collapsed="false">
      <c r="A284" s="2" t="n">
        <v>283</v>
      </c>
      <c r="B284" s="2" t="n">
        <v>67</v>
      </c>
      <c r="C284" s="2" t="s">
        <v>17</v>
      </c>
      <c r="D284" s="2" t="s">
        <v>22</v>
      </c>
      <c r="E284" s="2" t="n">
        <v>111550</v>
      </c>
      <c r="F284" s="2" t="n">
        <v>1</v>
      </c>
      <c r="G284" s="2" t="n">
        <v>6</v>
      </c>
      <c r="H284" s="2" t="n">
        <v>19</v>
      </c>
      <c r="I284" s="2" t="s">
        <v>13</v>
      </c>
      <c r="J284" s="2" t="s">
        <v>14</v>
      </c>
      <c r="K284" s="2" t="n">
        <v>84.45</v>
      </c>
    </row>
    <row r="285" customFormat="false" ht="15" hidden="false" customHeight="false" outlineLevel="0" collapsed="false">
      <c r="A285" s="3" t="n">
        <v>284</v>
      </c>
      <c r="B285" s="3" t="n">
        <v>40</v>
      </c>
      <c r="C285" s="3" t="s">
        <v>11</v>
      </c>
      <c r="D285" s="3" t="s">
        <v>23</v>
      </c>
      <c r="E285" s="3" t="n">
        <v>89850</v>
      </c>
      <c r="F285" s="3" t="n">
        <v>9</v>
      </c>
      <c r="G285" s="3" t="n">
        <v>6</v>
      </c>
      <c r="H285" s="3" t="n">
        <v>8</v>
      </c>
      <c r="I285" s="3" t="s">
        <v>21</v>
      </c>
      <c r="J285" s="3" t="s">
        <v>16</v>
      </c>
      <c r="K285" s="3" t="n">
        <v>100</v>
      </c>
    </row>
    <row r="286" customFormat="false" ht="15" hidden="false" customHeight="false" outlineLevel="0" collapsed="false">
      <c r="A286" s="2" t="n">
        <v>285</v>
      </c>
      <c r="B286" s="2" t="n">
        <v>48</v>
      </c>
      <c r="C286" s="2" t="s">
        <v>17</v>
      </c>
      <c r="D286" s="2" t="s">
        <v>22</v>
      </c>
      <c r="E286" s="2" t="n">
        <v>112904</v>
      </c>
      <c r="F286" s="2" t="n">
        <v>1</v>
      </c>
      <c r="G286" s="2" t="n">
        <v>2</v>
      </c>
      <c r="H286" s="2" t="n">
        <v>19</v>
      </c>
      <c r="I286" s="2" t="s">
        <v>15</v>
      </c>
      <c r="J286" s="2" t="s">
        <v>14</v>
      </c>
      <c r="K286" s="2" t="n">
        <v>58.35</v>
      </c>
    </row>
    <row r="287" customFormat="false" ht="15" hidden="false" customHeight="false" outlineLevel="0" collapsed="false">
      <c r="A287" s="3" t="n">
        <v>286</v>
      </c>
      <c r="B287" s="3" t="n">
        <v>47</v>
      </c>
      <c r="C287" s="3" t="s">
        <v>17</v>
      </c>
      <c r="D287" s="3" t="s">
        <v>22</v>
      </c>
      <c r="E287" s="3" t="n">
        <v>79960</v>
      </c>
      <c r="F287" s="3" t="n">
        <v>10</v>
      </c>
      <c r="G287" s="3" t="n">
        <v>9</v>
      </c>
      <c r="H287" s="3" t="n">
        <v>7</v>
      </c>
      <c r="I287" s="3" t="s">
        <v>15</v>
      </c>
      <c r="J287" s="3" t="s">
        <v>16</v>
      </c>
      <c r="K287" s="3" t="n">
        <v>100</v>
      </c>
    </row>
    <row r="288" customFormat="false" ht="15" hidden="false" customHeight="false" outlineLevel="0" collapsed="false">
      <c r="A288" s="2" t="n">
        <v>287</v>
      </c>
      <c r="B288" s="2" t="n">
        <v>59</v>
      </c>
      <c r="C288" s="2" t="s">
        <v>11</v>
      </c>
      <c r="D288" s="2" t="s">
        <v>20</v>
      </c>
      <c r="E288" s="2" t="n">
        <v>86941</v>
      </c>
      <c r="F288" s="2" t="n">
        <v>7</v>
      </c>
      <c r="G288" s="2" t="n">
        <v>5</v>
      </c>
      <c r="H288" s="2" t="n">
        <v>1</v>
      </c>
      <c r="I288" s="2" t="s">
        <v>13</v>
      </c>
      <c r="J288" s="2" t="s">
        <v>16</v>
      </c>
      <c r="K288" s="2" t="n">
        <v>98.36</v>
      </c>
    </row>
    <row r="289" customFormat="false" ht="15" hidden="false" customHeight="false" outlineLevel="0" collapsed="false">
      <c r="A289" s="3" t="n">
        <v>288</v>
      </c>
      <c r="B289" s="3" t="n">
        <v>52</v>
      </c>
      <c r="C289" s="3" t="s">
        <v>17</v>
      </c>
      <c r="D289" s="3" t="s">
        <v>12</v>
      </c>
      <c r="E289" s="3" t="n">
        <v>62474</v>
      </c>
      <c r="F289" s="3" t="n">
        <v>2</v>
      </c>
      <c r="G289" s="3" t="n">
        <v>7</v>
      </c>
      <c r="H289" s="3" t="n">
        <v>18</v>
      </c>
      <c r="I289" s="3" t="s">
        <v>21</v>
      </c>
      <c r="J289" s="3" t="s">
        <v>16</v>
      </c>
      <c r="K289" s="3" t="n">
        <v>86.92</v>
      </c>
    </row>
    <row r="290" customFormat="false" ht="15" hidden="false" customHeight="false" outlineLevel="0" collapsed="false">
      <c r="A290" s="2" t="n">
        <v>289</v>
      </c>
      <c r="B290" s="2" t="n">
        <v>24</v>
      </c>
      <c r="C290" s="2" t="s">
        <v>11</v>
      </c>
      <c r="D290" s="2" t="s">
        <v>22</v>
      </c>
      <c r="E290" s="2" t="n">
        <v>74107</v>
      </c>
      <c r="F290" s="2" t="n">
        <v>4</v>
      </c>
      <c r="G290" s="2" t="n">
        <v>3</v>
      </c>
      <c r="H290" s="2" t="n">
        <v>16</v>
      </c>
      <c r="I290" s="2" t="s">
        <v>15</v>
      </c>
      <c r="J290" s="2" t="s">
        <v>16</v>
      </c>
      <c r="K290" s="2" t="n">
        <v>57.58</v>
      </c>
    </row>
    <row r="291" customFormat="false" ht="15" hidden="false" customHeight="false" outlineLevel="0" collapsed="false">
      <c r="A291" s="3" t="n">
        <v>290</v>
      </c>
      <c r="B291" s="3" t="n">
        <v>33</v>
      </c>
      <c r="C291" s="3" t="s">
        <v>11</v>
      </c>
      <c r="D291" s="3" t="s">
        <v>12</v>
      </c>
      <c r="E291" s="3" t="n">
        <v>47608</v>
      </c>
      <c r="F291" s="3" t="n">
        <v>8</v>
      </c>
      <c r="G291" s="3" t="n">
        <v>9</v>
      </c>
      <c r="H291" s="3" t="n">
        <v>5</v>
      </c>
      <c r="I291" s="3" t="s">
        <v>13</v>
      </c>
      <c r="J291" s="3" t="s">
        <v>16</v>
      </c>
      <c r="K291" s="3" t="n">
        <v>100</v>
      </c>
    </row>
    <row r="292" customFormat="false" ht="15" hidden="false" customHeight="false" outlineLevel="0" collapsed="false">
      <c r="A292" s="2" t="n">
        <v>291</v>
      </c>
      <c r="B292" s="2" t="n">
        <v>43</v>
      </c>
      <c r="C292" s="2" t="s">
        <v>11</v>
      </c>
      <c r="D292" s="2" t="s">
        <v>22</v>
      </c>
      <c r="E292" s="2" t="n">
        <v>112292</v>
      </c>
      <c r="F292" s="2" t="n">
        <v>8</v>
      </c>
      <c r="G292" s="2" t="n">
        <v>4</v>
      </c>
      <c r="H292" s="2" t="n">
        <v>7</v>
      </c>
      <c r="I292" s="2" t="s">
        <v>13</v>
      </c>
      <c r="J292" s="2" t="s">
        <v>19</v>
      </c>
      <c r="K292" s="2" t="n">
        <v>85.47</v>
      </c>
    </row>
    <row r="293" customFormat="false" ht="15" hidden="false" customHeight="false" outlineLevel="0" collapsed="false">
      <c r="A293" s="3" t="n">
        <v>292</v>
      </c>
      <c r="B293" s="3" t="n">
        <v>65</v>
      </c>
      <c r="C293" s="3" t="s">
        <v>17</v>
      </c>
      <c r="D293" s="3" t="s">
        <v>23</v>
      </c>
      <c r="E293" s="3" t="n">
        <v>115313</v>
      </c>
      <c r="F293" s="3" t="n">
        <v>10</v>
      </c>
      <c r="G293" s="3" t="n">
        <v>9</v>
      </c>
      <c r="H293" s="3" t="n">
        <v>11</v>
      </c>
      <c r="I293" s="3" t="s">
        <v>21</v>
      </c>
      <c r="J293" s="3" t="s">
        <v>16</v>
      </c>
      <c r="K293" s="3" t="n">
        <v>100</v>
      </c>
    </row>
    <row r="294" customFormat="false" ht="15" hidden="false" customHeight="false" outlineLevel="0" collapsed="false">
      <c r="A294" s="2" t="n">
        <v>293</v>
      </c>
      <c r="B294" s="2" t="n">
        <v>69</v>
      </c>
      <c r="C294" s="2" t="s">
        <v>11</v>
      </c>
      <c r="D294" s="2" t="s">
        <v>23</v>
      </c>
      <c r="E294" s="2" t="n">
        <v>114296</v>
      </c>
      <c r="F294" s="2" t="n">
        <v>7</v>
      </c>
      <c r="G294" s="2" t="n">
        <v>1</v>
      </c>
      <c r="H294" s="2" t="n">
        <v>14</v>
      </c>
      <c r="I294" s="2" t="s">
        <v>13</v>
      </c>
      <c r="J294" s="2" t="s">
        <v>19</v>
      </c>
      <c r="K294" s="2" t="n">
        <v>81.6</v>
      </c>
    </row>
    <row r="295" customFormat="false" ht="15" hidden="false" customHeight="false" outlineLevel="0" collapsed="false">
      <c r="A295" s="3" t="n">
        <v>294</v>
      </c>
      <c r="B295" s="3" t="n">
        <v>66</v>
      </c>
      <c r="C295" s="3" t="s">
        <v>11</v>
      </c>
      <c r="D295" s="3" t="s">
        <v>12</v>
      </c>
      <c r="E295" s="3" t="n">
        <v>93854</v>
      </c>
      <c r="F295" s="3" t="n">
        <v>4</v>
      </c>
      <c r="G295" s="3" t="n">
        <v>9</v>
      </c>
      <c r="H295" s="3" t="n">
        <v>17</v>
      </c>
      <c r="I295" s="3" t="s">
        <v>13</v>
      </c>
      <c r="J295" s="3" t="s">
        <v>14</v>
      </c>
      <c r="K295" s="3" t="n">
        <v>100</v>
      </c>
    </row>
    <row r="296" customFormat="false" ht="15" hidden="false" customHeight="false" outlineLevel="0" collapsed="false">
      <c r="A296" s="2" t="n">
        <v>295</v>
      </c>
      <c r="B296" s="2" t="n">
        <v>19</v>
      </c>
      <c r="C296" s="2" t="s">
        <v>11</v>
      </c>
      <c r="D296" s="2" t="s">
        <v>12</v>
      </c>
      <c r="E296" s="2" t="n">
        <v>115623</v>
      </c>
      <c r="F296" s="2" t="n">
        <v>4</v>
      </c>
      <c r="G296" s="2" t="n">
        <v>2</v>
      </c>
      <c r="H296" s="2" t="n">
        <v>9</v>
      </c>
      <c r="I296" s="2" t="s">
        <v>21</v>
      </c>
      <c r="J296" s="2" t="s">
        <v>19</v>
      </c>
      <c r="K296" s="2" t="n">
        <v>62.21</v>
      </c>
    </row>
    <row r="297" customFormat="false" ht="15" hidden="false" customHeight="false" outlineLevel="0" collapsed="false">
      <c r="A297" s="3" t="n">
        <v>296</v>
      </c>
      <c r="B297" s="3" t="n">
        <v>18</v>
      </c>
      <c r="C297" s="3" t="s">
        <v>11</v>
      </c>
      <c r="D297" s="3" t="s">
        <v>12</v>
      </c>
      <c r="E297" s="3" t="n">
        <v>113122</v>
      </c>
      <c r="F297" s="3" t="n">
        <v>6</v>
      </c>
      <c r="G297" s="3" t="n">
        <v>10</v>
      </c>
      <c r="H297" s="3" t="n">
        <v>15</v>
      </c>
      <c r="I297" s="3" t="s">
        <v>15</v>
      </c>
      <c r="J297" s="3" t="s">
        <v>19</v>
      </c>
      <c r="K297" s="3" t="n">
        <v>100</v>
      </c>
    </row>
    <row r="298" customFormat="false" ht="15" hidden="false" customHeight="false" outlineLevel="0" collapsed="false">
      <c r="A298" s="2" t="n">
        <v>297</v>
      </c>
      <c r="B298" s="2" t="n">
        <v>65</v>
      </c>
      <c r="C298" s="2" t="s">
        <v>17</v>
      </c>
      <c r="D298" s="2" t="s">
        <v>12</v>
      </c>
      <c r="E298" s="2" t="n">
        <v>109998</v>
      </c>
      <c r="F298" s="2" t="n">
        <v>10</v>
      </c>
      <c r="G298" s="2" t="n">
        <v>2</v>
      </c>
      <c r="H298" s="2" t="n">
        <v>19</v>
      </c>
      <c r="I298" s="2" t="s">
        <v>21</v>
      </c>
      <c r="J298" s="2" t="s">
        <v>19</v>
      </c>
      <c r="K298" s="2" t="n">
        <v>100</v>
      </c>
    </row>
    <row r="299" customFormat="false" ht="15" hidden="false" customHeight="false" outlineLevel="0" collapsed="false">
      <c r="A299" s="3" t="n">
        <v>298</v>
      </c>
      <c r="B299" s="3" t="n">
        <v>29</v>
      </c>
      <c r="C299" s="3" t="s">
        <v>17</v>
      </c>
      <c r="D299" s="3" t="s">
        <v>18</v>
      </c>
      <c r="E299" s="3" t="n">
        <v>107967</v>
      </c>
      <c r="F299" s="3" t="n">
        <v>5</v>
      </c>
      <c r="G299" s="3" t="n">
        <v>9</v>
      </c>
      <c r="H299" s="3" t="n">
        <v>3</v>
      </c>
      <c r="I299" s="3" t="s">
        <v>21</v>
      </c>
      <c r="J299" s="3" t="s">
        <v>14</v>
      </c>
      <c r="K299" s="3" t="n">
        <v>99.27</v>
      </c>
    </row>
    <row r="300" customFormat="false" ht="15" hidden="false" customHeight="false" outlineLevel="0" collapsed="false">
      <c r="A300" s="2" t="n">
        <v>299</v>
      </c>
      <c r="B300" s="2" t="n">
        <v>22</v>
      </c>
      <c r="C300" s="2" t="s">
        <v>11</v>
      </c>
      <c r="D300" s="2" t="s">
        <v>23</v>
      </c>
      <c r="E300" s="2" t="n">
        <v>103920</v>
      </c>
      <c r="F300" s="2" t="n">
        <v>9</v>
      </c>
      <c r="G300" s="2" t="n">
        <v>2</v>
      </c>
      <c r="H300" s="2" t="n">
        <v>12</v>
      </c>
      <c r="I300" s="2" t="s">
        <v>13</v>
      </c>
      <c r="J300" s="2" t="s">
        <v>19</v>
      </c>
      <c r="K300" s="2" t="n">
        <v>71.22</v>
      </c>
    </row>
    <row r="301" customFormat="false" ht="15" hidden="false" customHeight="false" outlineLevel="0" collapsed="false">
      <c r="A301" s="3" t="n">
        <v>300</v>
      </c>
      <c r="B301" s="3" t="n">
        <v>54</v>
      </c>
      <c r="C301" s="3" t="s">
        <v>11</v>
      </c>
      <c r="D301" s="3" t="s">
        <v>22</v>
      </c>
      <c r="E301" s="3" t="n">
        <v>83716</v>
      </c>
      <c r="F301" s="3" t="n">
        <v>5</v>
      </c>
      <c r="G301" s="3" t="n">
        <v>7</v>
      </c>
      <c r="H301" s="3" t="n">
        <v>1</v>
      </c>
      <c r="I301" s="3" t="s">
        <v>13</v>
      </c>
      <c r="J301" s="3" t="s">
        <v>19</v>
      </c>
      <c r="K301" s="3" t="n">
        <v>98.54</v>
      </c>
    </row>
    <row r="302" customFormat="false" ht="15" hidden="false" customHeight="false" outlineLevel="0" collapsed="false">
      <c r="A302" s="2" t="n">
        <v>301</v>
      </c>
      <c r="B302" s="2" t="n">
        <v>49</v>
      </c>
      <c r="C302" s="2" t="s">
        <v>11</v>
      </c>
      <c r="D302" s="2" t="s">
        <v>18</v>
      </c>
      <c r="E302" s="2" t="n">
        <v>31265</v>
      </c>
      <c r="F302" s="2" t="n">
        <v>6</v>
      </c>
      <c r="G302" s="2" t="n">
        <v>8</v>
      </c>
      <c r="H302" s="2" t="n">
        <v>14</v>
      </c>
      <c r="I302" s="2" t="s">
        <v>15</v>
      </c>
      <c r="J302" s="2" t="s">
        <v>14</v>
      </c>
      <c r="K302" s="2" t="n">
        <v>93.35</v>
      </c>
    </row>
    <row r="303" customFormat="false" ht="15" hidden="false" customHeight="false" outlineLevel="0" collapsed="false">
      <c r="A303" s="3" t="n">
        <v>302</v>
      </c>
      <c r="B303" s="3" t="n">
        <v>26</v>
      </c>
      <c r="C303" s="3" t="s">
        <v>11</v>
      </c>
      <c r="D303" s="3" t="s">
        <v>12</v>
      </c>
      <c r="E303" s="3" t="n">
        <v>84692</v>
      </c>
      <c r="F303" s="3" t="n">
        <v>8</v>
      </c>
      <c r="G303" s="3" t="n">
        <v>1</v>
      </c>
      <c r="H303" s="3" t="n">
        <v>14</v>
      </c>
      <c r="I303" s="3" t="s">
        <v>15</v>
      </c>
      <c r="J303" s="3" t="s">
        <v>14</v>
      </c>
      <c r="K303" s="3" t="n">
        <v>79.42</v>
      </c>
    </row>
    <row r="304" customFormat="false" ht="15" hidden="false" customHeight="false" outlineLevel="0" collapsed="false">
      <c r="A304" s="2" t="n">
        <v>303</v>
      </c>
      <c r="B304" s="2" t="n">
        <v>58</v>
      </c>
      <c r="C304" s="2" t="s">
        <v>11</v>
      </c>
      <c r="D304" s="2" t="s">
        <v>22</v>
      </c>
      <c r="E304" s="2" t="n">
        <v>100208</v>
      </c>
      <c r="F304" s="2" t="n">
        <v>10</v>
      </c>
      <c r="G304" s="2" t="n">
        <v>6</v>
      </c>
      <c r="H304" s="2" t="n">
        <v>6</v>
      </c>
      <c r="I304" s="2" t="s">
        <v>13</v>
      </c>
      <c r="J304" s="2" t="s">
        <v>14</v>
      </c>
      <c r="K304" s="2" t="n">
        <v>100</v>
      </c>
    </row>
    <row r="305" customFormat="false" ht="15" hidden="false" customHeight="false" outlineLevel="0" collapsed="false">
      <c r="A305" s="3" t="n">
        <v>304</v>
      </c>
      <c r="B305" s="3" t="n">
        <v>52</v>
      </c>
      <c r="C305" s="3" t="s">
        <v>11</v>
      </c>
      <c r="D305" s="3" t="s">
        <v>23</v>
      </c>
      <c r="E305" s="3" t="n">
        <v>67296</v>
      </c>
      <c r="F305" s="3" t="n">
        <v>4</v>
      </c>
      <c r="G305" s="3" t="n">
        <v>5</v>
      </c>
      <c r="H305" s="3" t="n">
        <v>2</v>
      </c>
      <c r="I305" s="3" t="s">
        <v>15</v>
      </c>
      <c r="J305" s="3" t="s">
        <v>19</v>
      </c>
      <c r="K305" s="3" t="n">
        <v>84.83</v>
      </c>
    </row>
    <row r="306" customFormat="false" ht="15" hidden="false" customHeight="false" outlineLevel="0" collapsed="false">
      <c r="A306" s="2" t="n">
        <v>305</v>
      </c>
      <c r="B306" s="2" t="n">
        <v>36</v>
      </c>
      <c r="C306" s="2" t="s">
        <v>17</v>
      </c>
      <c r="D306" s="2" t="s">
        <v>12</v>
      </c>
      <c r="E306" s="2" t="n">
        <v>40286</v>
      </c>
      <c r="F306" s="2" t="n">
        <v>10</v>
      </c>
      <c r="G306" s="2" t="n">
        <v>7</v>
      </c>
      <c r="H306" s="2" t="n">
        <v>10</v>
      </c>
      <c r="I306" s="2" t="s">
        <v>13</v>
      </c>
      <c r="J306" s="2" t="s">
        <v>16</v>
      </c>
      <c r="K306" s="2" t="n">
        <v>97.61</v>
      </c>
    </row>
    <row r="307" customFormat="false" ht="15" hidden="false" customHeight="false" outlineLevel="0" collapsed="false">
      <c r="A307" s="3" t="n">
        <v>306</v>
      </c>
      <c r="B307" s="3" t="n">
        <v>65</v>
      </c>
      <c r="C307" s="3" t="s">
        <v>11</v>
      </c>
      <c r="D307" s="3" t="s">
        <v>20</v>
      </c>
      <c r="E307" s="3" t="n">
        <v>60119</v>
      </c>
      <c r="F307" s="3" t="n">
        <v>10</v>
      </c>
      <c r="G307" s="3" t="n">
        <v>10</v>
      </c>
      <c r="H307" s="3" t="n">
        <v>15</v>
      </c>
      <c r="I307" s="3" t="s">
        <v>13</v>
      </c>
      <c r="J307" s="3" t="s">
        <v>19</v>
      </c>
      <c r="K307" s="3" t="n">
        <v>100</v>
      </c>
    </row>
    <row r="308" customFormat="false" ht="15" hidden="false" customHeight="false" outlineLevel="0" collapsed="false">
      <c r="A308" s="2" t="n">
        <v>307</v>
      </c>
      <c r="B308" s="2" t="n">
        <v>33</v>
      </c>
      <c r="C308" s="2" t="s">
        <v>11</v>
      </c>
      <c r="D308" s="2" t="s">
        <v>12</v>
      </c>
      <c r="E308" s="2" t="n">
        <v>117437</v>
      </c>
      <c r="F308" s="2" t="n">
        <v>2</v>
      </c>
      <c r="G308" s="2" t="n">
        <v>5</v>
      </c>
      <c r="H308" s="2" t="n">
        <v>12</v>
      </c>
      <c r="I308" s="2" t="s">
        <v>21</v>
      </c>
      <c r="J308" s="2" t="s">
        <v>16</v>
      </c>
      <c r="K308" s="2" t="n">
        <v>75.24</v>
      </c>
    </row>
    <row r="309" customFormat="false" ht="15" hidden="false" customHeight="false" outlineLevel="0" collapsed="false">
      <c r="A309" s="3" t="n">
        <v>308</v>
      </c>
      <c r="B309" s="3" t="n">
        <v>20</v>
      </c>
      <c r="C309" s="3" t="s">
        <v>11</v>
      </c>
      <c r="D309" s="3" t="s">
        <v>22</v>
      </c>
      <c r="E309" s="3" t="n">
        <v>97999</v>
      </c>
      <c r="F309" s="3" t="n">
        <v>2</v>
      </c>
      <c r="G309" s="3" t="n">
        <v>4</v>
      </c>
      <c r="H309" s="3" t="n">
        <v>19</v>
      </c>
      <c r="I309" s="3" t="s">
        <v>21</v>
      </c>
      <c r="J309" s="3" t="s">
        <v>19</v>
      </c>
      <c r="K309" s="3" t="n">
        <v>68.56</v>
      </c>
    </row>
    <row r="310" customFormat="false" ht="15" hidden="false" customHeight="false" outlineLevel="0" collapsed="false">
      <c r="A310" s="2" t="n">
        <v>309</v>
      </c>
      <c r="B310" s="2" t="n">
        <v>37</v>
      </c>
      <c r="C310" s="2" t="s">
        <v>11</v>
      </c>
      <c r="D310" s="2" t="s">
        <v>23</v>
      </c>
      <c r="E310" s="2" t="n">
        <v>65799</v>
      </c>
      <c r="F310" s="2" t="n">
        <v>10</v>
      </c>
      <c r="G310" s="2" t="n">
        <v>2</v>
      </c>
      <c r="H310" s="2" t="n">
        <v>2</v>
      </c>
      <c r="I310" s="2" t="s">
        <v>15</v>
      </c>
      <c r="J310" s="2" t="s">
        <v>16</v>
      </c>
      <c r="K310" s="2" t="n">
        <v>87.92</v>
      </c>
    </row>
    <row r="311" customFormat="false" ht="15" hidden="false" customHeight="false" outlineLevel="0" collapsed="false">
      <c r="A311" s="3" t="n">
        <v>310</v>
      </c>
      <c r="B311" s="3" t="n">
        <v>41</v>
      </c>
      <c r="C311" s="3" t="s">
        <v>11</v>
      </c>
      <c r="D311" s="3" t="s">
        <v>12</v>
      </c>
      <c r="E311" s="3" t="n">
        <v>31830</v>
      </c>
      <c r="F311" s="3" t="n">
        <v>5</v>
      </c>
      <c r="G311" s="3" t="n">
        <v>10</v>
      </c>
      <c r="H311" s="3" t="n">
        <v>15</v>
      </c>
      <c r="I311" s="3" t="s">
        <v>15</v>
      </c>
      <c r="J311" s="3" t="s">
        <v>19</v>
      </c>
      <c r="K311" s="3" t="n">
        <v>100</v>
      </c>
    </row>
    <row r="312" customFormat="false" ht="15" hidden="false" customHeight="false" outlineLevel="0" collapsed="false">
      <c r="A312" s="2" t="n">
        <v>311</v>
      </c>
      <c r="B312" s="2" t="n">
        <v>50</v>
      </c>
      <c r="C312" s="2" t="s">
        <v>11</v>
      </c>
      <c r="D312" s="2" t="s">
        <v>23</v>
      </c>
      <c r="E312" s="2" t="n">
        <v>111508</v>
      </c>
      <c r="F312" s="2" t="n">
        <v>2</v>
      </c>
      <c r="G312" s="2" t="n">
        <v>1</v>
      </c>
      <c r="H312" s="2" t="n">
        <v>20</v>
      </c>
      <c r="I312" s="2" t="s">
        <v>15</v>
      </c>
      <c r="J312" s="2" t="s">
        <v>19</v>
      </c>
      <c r="K312" s="2" t="n">
        <v>85.46</v>
      </c>
    </row>
    <row r="313" customFormat="false" ht="15" hidden="false" customHeight="false" outlineLevel="0" collapsed="false">
      <c r="A313" s="3" t="n">
        <v>312</v>
      </c>
      <c r="B313" s="3" t="n">
        <v>41</v>
      </c>
      <c r="C313" s="3" t="s">
        <v>17</v>
      </c>
      <c r="D313" s="3" t="s">
        <v>18</v>
      </c>
      <c r="E313" s="3" t="n">
        <v>63322</v>
      </c>
      <c r="F313" s="3" t="n">
        <v>2</v>
      </c>
      <c r="G313" s="3" t="n">
        <v>3</v>
      </c>
      <c r="H313" s="3" t="n">
        <v>13</v>
      </c>
      <c r="I313" s="3" t="s">
        <v>13</v>
      </c>
      <c r="J313" s="3" t="s">
        <v>16</v>
      </c>
      <c r="K313" s="3" t="n">
        <v>52.78</v>
      </c>
    </row>
    <row r="314" customFormat="false" ht="15" hidden="false" customHeight="false" outlineLevel="0" collapsed="false">
      <c r="A314" s="2" t="n">
        <v>313</v>
      </c>
      <c r="B314" s="2" t="n">
        <v>69</v>
      </c>
      <c r="C314" s="2" t="s">
        <v>17</v>
      </c>
      <c r="D314" s="2" t="s">
        <v>20</v>
      </c>
      <c r="E314" s="2" t="n">
        <v>56038</v>
      </c>
      <c r="F314" s="2" t="n">
        <v>4</v>
      </c>
      <c r="G314" s="2" t="n">
        <v>7</v>
      </c>
      <c r="H314" s="2" t="n">
        <v>18</v>
      </c>
      <c r="I314" s="2" t="s">
        <v>15</v>
      </c>
      <c r="J314" s="2" t="s">
        <v>14</v>
      </c>
      <c r="K314" s="2" t="n">
        <v>100</v>
      </c>
    </row>
    <row r="315" customFormat="false" ht="15" hidden="false" customHeight="false" outlineLevel="0" collapsed="false">
      <c r="A315" s="3" t="n">
        <v>314</v>
      </c>
      <c r="B315" s="3" t="n">
        <v>28</v>
      </c>
      <c r="C315" s="3" t="s">
        <v>11</v>
      </c>
      <c r="D315" s="3" t="s">
        <v>18</v>
      </c>
      <c r="E315" s="3" t="n">
        <v>65371</v>
      </c>
      <c r="F315" s="3" t="n">
        <v>7</v>
      </c>
      <c r="G315" s="3" t="n">
        <v>6</v>
      </c>
      <c r="H315" s="3" t="n">
        <v>20</v>
      </c>
      <c r="I315" s="3" t="s">
        <v>21</v>
      </c>
      <c r="J315" s="3" t="s">
        <v>14</v>
      </c>
      <c r="K315" s="3" t="n">
        <v>100</v>
      </c>
    </row>
    <row r="316" customFormat="false" ht="15" hidden="false" customHeight="false" outlineLevel="0" collapsed="false">
      <c r="A316" s="2" t="n">
        <v>315</v>
      </c>
      <c r="B316" s="2" t="n">
        <v>66</v>
      </c>
      <c r="C316" s="2" t="s">
        <v>17</v>
      </c>
      <c r="D316" s="2" t="s">
        <v>20</v>
      </c>
      <c r="E316" s="2" t="n">
        <v>119419</v>
      </c>
      <c r="F316" s="2" t="n">
        <v>1</v>
      </c>
      <c r="G316" s="2" t="n">
        <v>7</v>
      </c>
      <c r="H316" s="2" t="n">
        <v>2</v>
      </c>
      <c r="I316" s="2" t="s">
        <v>15</v>
      </c>
      <c r="J316" s="2" t="s">
        <v>14</v>
      </c>
      <c r="K316" s="2" t="n">
        <v>100</v>
      </c>
    </row>
    <row r="317" customFormat="false" ht="15" hidden="false" customHeight="false" outlineLevel="0" collapsed="false">
      <c r="A317" s="3" t="n">
        <v>316</v>
      </c>
      <c r="B317" s="3" t="n">
        <v>25</v>
      </c>
      <c r="C317" s="3" t="s">
        <v>11</v>
      </c>
      <c r="D317" s="3" t="s">
        <v>18</v>
      </c>
      <c r="E317" s="3" t="n">
        <v>46770</v>
      </c>
      <c r="F317" s="3" t="n">
        <v>5</v>
      </c>
      <c r="G317" s="3" t="n">
        <v>8</v>
      </c>
      <c r="H317" s="3" t="n">
        <v>2</v>
      </c>
      <c r="I317" s="3" t="s">
        <v>13</v>
      </c>
      <c r="J317" s="3" t="s">
        <v>19</v>
      </c>
      <c r="K317" s="3" t="n">
        <v>90.77</v>
      </c>
    </row>
    <row r="318" customFormat="false" ht="15" hidden="false" customHeight="false" outlineLevel="0" collapsed="false">
      <c r="A318" s="2" t="n">
        <v>317</v>
      </c>
      <c r="B318" s="2" t="n">
        <v>53</v>
      </c>
      <c r="C318" s="2" t="s">
        <v>17</v>
      </c>
      <c r="D318" s="2" t="s">
        <v>23</v>
      </c>
      <c r="E318" s="2" t="n">
        <v>69764</v>
      </c>
      <c r="F318" s="2" t="n">
        <v>3</v>
      </c>
      <c r="G318" s="2" t="n">
        <v>8</v>
      </c>
      <c r="H318" s="2" t="n">
        <v>1</v>
      </c>
      <c r="I318" s="2" t="s">
        <v>13</v>
      </c>
      <c r="J318" s="2" t="s">
        <v>14</v>
      </c>
      <c r="K318" s="2" t="n">
        <v>95.06</v>
      </c>
    </row>
    <row r="319" customFormat="false" ht="15" hidden="false" customHeight="false" outlineLevel="0" collapsed="false">
      <c r="A319" s="3" t="n">
        <v>318</v>
      </c>
      <c r="B319" s="3" t="n">
        <v>55</v>
      </c>
      <c r="C319" s="3" t="s">
        <v>11</v>
      </c>
      <c r="D319" s="3" t="s">
        <v>23</v>
      </c>
      <c r="E319" s="3" t="n">
        <v>68457</v>
      </c>
      <c r="F319" s="3" t="n">
        <v>3</v>
      </c>
      <c r="G319" s="3" t="n">
        <v>10</v>
      </c>
      <c r="H319" s="3" t="n">
        <v>3</v>
      </c>
      <c r="I319" s="3" t="s">
        <v>15</v>
      </c>
      <c r="J319" s="3" t="s">
        <v>16</v>
      </c>
      <c r="K319" s="3" t="n">
        <v>95.69</v>
      </c>
    </row>
    <row r="320" customFormat="false" ht="15" hidden="false" customHeight="false" outlineLevel="0" collapsed="false">
      <c r="A320" s="2" t="n">
        <v>319</v>
      </c>
      <c r="B320" s="2" t="n">
        <v>57</v>
      </c>
      <c r="C320" s="2" t="s">
        <v>11</v>
      </c>
      <c r="D320" s="2" t="s">
        <v>18</v>
      </c>
      <c r="E320" s="2" t="n">
        <v>83082</v>
      </c>
      <c r="F320" s="2" t="n">
        <v>8</v>
      </c>
      <c r="G320" s="2" t="n">
        <v>4</v>
      </c>
      <c r="H320" s="2" t="n">
        <v>19</v>
      </c>
      <c r="I320" s="2" t="s">
        <v>13</v>
      </c>
      <c r="J320" s="2" t="s">
        <v>19</v>
      </c>
      <c r="K320" s="2" t="n">
        <v>98.55</v>
      </c>
    </row>
    <row r="321" customFormat="false" ht="15" hidden="false" customHeight="false" outlineLevel="0" collapsed="false">
      <c r="A321" s="3" t="n">
        <v>320</v>
      </c>
      <c r="B321" s="3" t="n">
        <v>37</v>
      </c>
      <c r="C321" s="3" t="s">
        <v>11</v>
      </c>
      <c r="D321" s="3" t="s">
        <v>22</v>
      </c>
      <c r="E321" s="3" t="n">
        <v>88761</v>
      </c>
      <c r="F321" s="3" t="n">
        <v>4</v>
      </c>
      <c r="G321" s="3" t="n">
        <v>4</v>
      </c>
      <c r="H321" s="3" t="n">
        <v>12</v>
      </c>
      <c r="I321" s="3" t="s">
        <v>15</v>
      </c>
      <c r="J321" s="3" t="s">
        <v>16</v>
      </c>
      <c r="K321" s="3" t="n">
        <v>60.86</v>
      </c>
    </row>
    <row r="322" customFormat="false" ht="15" hidden="false" customHeight="false" outlineLevel="0" collapsed="false">
      <c r="A322" s="2" t="n">
        <v>321</v>
      </c>
      <c r="B322" s="2" t="n">
        <v>52</v>
      </c>
      <c r="C322" s="2" t="s">
        <v>17</v>
      </c>
      <c r="D322" s="2" t="s">
        <v>18</v>
      </c>
      <c r="E322" s="2" t="n">
        <v>71481</v>
      </c>
      <c r="F322" s="2" t="n">
        <v>6</v>
      </c>
      <c r="G322" s="2" t="n">
        <v>1</v>
      </c>
      <c r="H322" s="2" t="n">
        <v>1</v>
      </c>
      <c r="I322" s="2" t="s">
        <v>15</v>
      </c>
      <c r="J322" s="2" t="s">
        <v>19</v>
      </c>
      <c r="K322" s="2" t="n">
        <v>69.67</v>
      </c>
    </row>
    <row r="323" customFormat="false" ht="15" hidden="false" customHeight="false" outlineLevel="0" collapsed="false">
      <c r="A323" s="3" t="n">
        <v>322</v>
      </c>
      <c r="B323" s="3" t="n">
        <v>65</v>
      </c>
      <c r="C323" s="3" t="s">
        <v>17</v>
      </c>
      <c r="D323" s="3" t="s">
        <v>12</v>
      </c>
      <c r="E323" s="3" t="n">
        <v>46336</v>
      </c>
      <c r="F323" s="3" t="n">
        <v>10</v>
      </c>
      <c r="G323" s="3" t="n">
        <v>5</v>
      </c>
      <c r="H323" s="3" t="n">
        <v>3</v>
      </c>
      <c r="I323" s="3" t="s">
        <v>15</v>
      </c>
      <c r="J323" s="3" t="s">
        <v>16</v>
      </c>
      <c r="K323" s="3" t="n">
        <v>100</v>
      </c>
    </row>
    <row r="324" customFormat="false" ht="15" hidden="false" customHeight="false" outlineLevel="0" collapsed="false">
      <c r="A324" s="2" t="n">
        <v>323</v>
      </c>
      <c r="B324" s="2" t="n">
        <v>42</v>
      </c>
      <c r="C324" s="2" t="s">
        <v>11</v>
      </c>
      <c r="D324" s="2" t="s">
        <v>22</v>
      </c>
      <c r="E324" s="2" t="n">
        <v>37337</v>
      </c>
      <c r="F324" s="2" t="n">
        <v>1</v>
      </c>
      <c r="G324" s="2" t="n">
        <v>1</v>
      </c>
      <c r="H324" s="2" t="n">
        <v>12</v>
      </c>
      <c r="I324" s="2" t="s">
        <v>13</v>
      </c>
      <c r="J324" s="2" t="s">
        <v>19</v>
      </c>
      <c r="K324" s="2" t="n">
        <v>59.43</v>
      </c>
    </row>
    <row r="325" customFormat="false" ht="15" hidden="false" customHeight="false" outlineLevel="0" collapsed="false">
      <c r="A325" s="3" t="n">
        <v>324</v>
      </c>
      <c r="B325" s="3" t="n">
        <v>52</v>
      </c>
      <c r="C325" s="3" t="s">
        <v>11</v>
      </c>
      <c r="D325" s="3" t="s">
        <v>23</v>
      </c>
      <c r="E325" s="3" t="n">
        <v>48465</v>
      </c>
      <c r="F325" s="3" t="n">
        <v>2</v>
      </c>
      <c r="G325" s="3" t="n">
        <v>6</v>
      </c>
      <c r="H325" s="3" t="n">
        <v>12</v>
      </c>
      <c r="I325" s="3" t="s">
        <v>15</v>
      </c>
      <c r="J325" s="3" t="s">
        <v>19</v>
      </c>
      <c r="K325" s="3" t="n">
        <v>77.09</v>
      </c>
    </row>
    <row r="326" customFormat="false" ht="15" hidden="false" customHeight="false" outlineLevel="0" collapsed="false">
      <c r="A326" s="2" t="n">
        <v>325</v>
      </c>
      <c r="B326" s="2" t="n">
        <v>42</v>
      </c>
      <c r="C326" s="2" t="s">
        <v>17</v>
      </c>
      <c r="D326" s="2" t="s">
        <v>18</v>
      </c>
      <c r="E326" s="2" t="n">
        <v>56777</v>
      </c>
      <c r="F326" s="2" t="n">
        <v>8</v>
      </c>
      <c r="G326" s="2" t="n">
        <v>4</v>
      </c>
      <c r="H326" s="2" t="n">
        <v>12</v>
      </c>
      <c r="I326" s="2" t="s">
        <v>21</v>
      </c>
      <c r="J326" s="2" t="s">
        <v>19</v>
      </c>
      <c r="K326" s="2" t="n">
        <v>94.41</v>
      </c>
    </row>
    <row r="327" customFormat="false" ht="15" hidden="false" customHeight="false" outlineLevel="0" collapsed="false">
      <c r="A327" s="3" t="n">
        <v>326</v>
      </c>
      <c r="B327" s="3" t="n">
        <v>46</v>
      </c>
      <c r="C327" s="3" t="s">
        <v>11</v>
      </c>
      <c r="D327" s="3" t="s">
        <v>22</v>
      </c>
      <c r="E327" s="3" t="n">
        <v>72113</v>
      </c>
      <c r="F327" s="3" t="n">
        <v>6</v>
      </c>
      <c r="G327" s="3" t="n">
        <v>8</v>
      </c>
      <c r="H327" s="3" t="n">
        <v>2</v>
      </c>
      <c r="I327" s="3" t="s">
        <v>21</v>
      </c>
      <c r="J327" s="3" t="s">
        <v>19</v>
      </c>
      <c r="K327" s="3" t="n">
        <v>100</v>
      </c>
    </row>
    <row r="328" customFormat="false" ht="15" hidden="false" customHeight="false" outlineLevel="0" collapsed="false">
      <c r="A328" s="2" t="n">
        <v>327</v>
      </c>
      <c r="B328" s="2" t="n">
        <v>35</v>
      </c>
      <c r="C328" s="2" t="s">
        <v>11</v>
      </c>
      <c r="D328" s="2" t="s">
        <v>12</v>
      </c>
      <c r="E328" s="2" t="n">
        <v>36856</v>
      </c>
      <c r="F328" s="2" t="n">
        <v>8</v>
      </c>
      <c r="G328" s="2" t="n">
        <v>5</v>
      </c>
      <c r="H328" s="2" t="n">
        <v>20</v>
      </c>
      <c r="I328" s="2" t="s">
        <v>21</v>
      </c>
      <c r="J328" s="2" t="s">
        <v>14</v>
      </c>
      <c r="K328" s="2" t="n">
        <v>100</v>
      </c>
    </row>
    <row r="329" customFormat="false" ht="15" hidden="false" customHeight="false" outlineLevel="0" collapsed="false">
      <c r="A329" s="3" t="n">
        <v>328</v>
      </c>
      <c r="B329" s="3" t="n">
        <v>63</v>
      </c>
      <c r="C329" s="3" t="s">
        <v>11</v>
      </c>
      <c r="D329" s="3" t="s">
        <v>20</v>
      </c>
      <c r="E329" s="3" t="n">
        <v>89381</v>
      </c>
      <c r="F329" s="3" t="n">
        <v>7</v>
      </c>
      <c r="G329" s="3" t="n">
        <v>7</v>
      </c>
      <c r="H329" s="3" t="n">
        <v>6</v>
      </c>
      <c r="I329" s="3" t="s">
        <v>15</v>
      </c>
      <c r="J329" s="3" t="s">
        <v>19</v>
      </c>
      <c r="K329" s="3" t="n">
        <v>100</v>
      </c>
    </row>
    <row r="330" customFormat="false" ht="15" hidden="false" customHeight="false" outlineLevel="0" collapsed="false">
      <c r="A330" s="2" t="n">
        <v>329</v>
      </c>
      <c r="B330" s="2" t="n">
        <v>35</v>
      </c>
      <c r="C330" s="2" t="s">
        <v>17</v>
      </c>
      <c r="D330" s="2" t="s">
        <v>23</v>
      </c>
      <c r="E330" s="2" t="n">
        <v>108380</v>
      </c>
      <c r="F330" s="2" t="n">
        <v>6</v>
      </c>
      <c r="G330" s="2" t="n">
        <v>6</v>
      </c>
      <c r="H330" s="2" t="n">
        <v>16</v>
      </c>
      <c r="I330" s="2" t="s">
        <v>13</v>
      </c>
      <c r="J330" s="2" t="s">
        <v>16</v>
      </c>
      <c r="K330" s="2" t="n">
        <v>91.32</v>
      </c>
    </row>
    <row r="331" customFormat="false" ht="15" hidden="false" customHeight="false" outlineLevel="0" collapsed="false">
      <c r="A331" s="3" t="n">
        <v>330</v>
      </c>
      <c r="B331" s="3" t="n">
        <v>19</v>
      </c>
      <c r="C331" s="3" t="s">
        <v>17</v>
      </c>
      <c r="D331" s="3" t="s">
        <v>22</v>
      </c>
      <c r="E331" s="3" t="n">
        <v>103732</v>
      </c>
      <c r="F331" s="3" t="n">
        <v>3</v>
      </c>
      <c r="G331" s="3" t="n">
        <v>6</v>
      </c>
      <c r="H331" s="3" t="n">
        <v>13</v>
      </c>
      <c r="I331" s="3" t="s">
        <v>15</v>
      </c>
      <c r="J331" s="3" t="s">
        <v>19</v>
      </c>
      <c r="K331" s="3" t="n">
        <v>65.79</v>
      </c>
    </row>
    <row r="332" customFormat="false" ht="15" hidden="false" customHeight="false" outlineLevel="0" collapsed="false">
      <c r="A332" s="2" t="n">
        <v>331</v>
      </c>
      <c r="B332" s="2" t="n">
        <v>52</v>
      </c>
      <c r="C332" s="2" t="s">
        <v>11</v>
      </c>
      <c r="D332" s="2" t="s">
        <v>22</v>
      </c>
      <c r="E332" s="2" t="n">
        <v>36169</v>
      </c>
      <c r="F332" s="2" t="n">
        <v>5</v>
      </c>
      <c r="G332" s="2" t="n">
        <v>10</v>
      </c>
      <c r="H332" s="2" t="n">
        <v>10</v>
      </c>
      <c r="I332" s="2" t="s">
        <v>21</v>
      </c>
      <c r="J332" s="2" t="s">
        <v>14</v>
      </c>
      <c r="K332" s="2" t="n">
        <v>100</v>
      </c>
    </row>
    <row r="333" customFormat="false" ht="15" hidden="false" customHeight="false" outlineLevel="0" collapsed="false">
      <c r="A333" s="3" t="n">
        <v>332</v>
      </c>
      <c r="B333" s="3" t="n">
        <v>33</v>
      </c>
      <c r="C333" s="3" t="s">
        <v>11</v>
      </c>
      <c r="D333" s="3" t="s">
        <v>22</v>
      </c>
      <c r="E333" s="3" t="n">
        <v>102179</v>
      </c>
      <c r="F333" s="3" t="n">
        <v>7</v>
      </c>
      <c r="G333" s="3" t="n">
        <v>8</v>
      </c>
      <c r="H333" s="3" t="n">
        <v>5</v>
      </c>
      <c r="I333" s="3" t="s">
        <v>13</v>
      </c>
      <c r="J333" s="3" t="s">
        <v>19</v>
      </c>
      <c r="K333" s="3" t="n">
        <v>100</v>
      </c>
    </row>
    <row r="334" customFormat="false" ht="15" hidden="false" customHeight="false" outlineLevel="0" collapsed="false">
      <c r="A334" s="2" t="n">
        <v>333</v>
      </c>
      <c r="B334" s="2" t="n">
        <v>58</v>
      </c>
      <c r="C334" s="2" t="s">
        <v>17</v>
      </c>
      <c r="D334" s="2" t="s">
        <v>18</v>
      </c>
      <c r="E334" s="2" t="n">
        <v>36888</v>
      </c>
      <c r="F334" s="2" t="n">
        <v>4</v>
      </c>
      <c r="G334" s="2" t="n">
        <v>2</v>
      </c>
      <c r="H334" s="2" t="n">
        <v>17</v>
      </c>
      <c r="I334" s="2" t="s">
        <v>21</v>
      </c>
      <c r="J334" s="2" t="s">
        <v>16</v>
      </c>
      <c r="K334" s="2" t="n">
        <v>66.07</v>
      </c>
    </row>
    <row r="335" customFormat="false" ht="15" hidden="false" customHeight="false" outlineLevel="0" collapsed="false">
      <c r="A335" s="3" t="n">
        <v>334</v>
      </c>
      <c r="B335" s="3" t="n">
        <v>53</v>
      </c>
      <c r="C335" s="3" t="s">
        <v>11</v>
      </c>
      <c r="D335" s="3" t="s">
        <v>23</v>
      </c>
      <c r="E335" s="3" t="n">
        <v>47742</v>
      </c>
      <c r="F335" s="3" t="n">
        <v>6</v>
      </c>
      <c r="G335" s="3" t="n">
        <v>7</v>
      </c>
      <c r="H335" s="3" t="n">
        <v>4</v>
      </c>
      <c r="I335" s="3" t="s">
        <v>13</v>
      </c>
      <c r="J335" s="3" t="s">
        <v>16</v>
      </c>
      <c r="K335" s="3" t="n">
        <v>90.58</v>
      </c>
    </row>
    <row r="336" customFormat="false" ht="15" hidden="false" customHeight="false" outlineLevel="0" collapsed="false">
      <c r="A336" s="2" t="n">
        <v>335</v>
      </c>
      <c r="B336" s="2" t="n">
        <v>50</v>
      </c>
      <c r="C336" s="2" t="s">
        <v>11</v>
      </c>
      <c r="D336" s="2" t="s">
        <v>23</v>
      </c>
      <c r="E336" s="2" t="n">
        <v>115400</v>
      </c>
      <c r="F336" s="2" t="n">
        <v>1</v>
      </c>
      <c r="G336" s="2" t="n">
        <v>5</v>
      </c>
      <c r="H336" s="2" t="n">
        <v>15</v>
      </c>
      <c r="I336" s="2" t="s">
        <v>13</v>
      </c>
      <c r="J336" s="2" t="s">
        <v>16</v>
      </c>
      <c r="K336" s="2" t="n">
        <v>81.58</v>
      </c>
    </row>
    <row r="337" customFormat="false" ht="15" hidden="false" customHeight="false" outlineLevel="0" collapsed="false">
      <c r="A337" s="3" t="n">
        <v>336</v>
      </c>
      <c r="B337" s="3" t="n">
        <v>21</v>
      </c>
      <c r="C337" s="3" t="s">
        <v>11</v>
      </c>
      <c r="D337" s="3" t="s">
        <v>18</v>
      </c>
      <c r="E337" s="3" t="n">
        <v>64585</v>
      </c>
      <c r="F337" s="3" t="n">
        <v>2</v>
      </c>
      <c r="G337" s="3" t="n">
        <v>3</v>
      </c>
      <c r="H337" s="3" t="n">
        <v>12</v>
      </c>
      <c r="I337" s="3" t="s">
        <v>21</v>
      </c>
      <c r="J337" s="3" t="s">
        <v>16</v>
      </c>
      <c r="K337" s="3" t="n">
        <v>38.84</v>
      </c>
    </row>
    <row r="338" customFormat="false" ht="15" hidden="false" customHeight="false" outlineLevel="0" collapsed="false">
      <c r="A338" s="2" t="n">
        <v>337</v>
      </c>
      <c r="B338" s="2" t="n">
        <v>50</v>
      </c>
      <c r="C338" s="2" t="s">
        <v>11</v>
      </c>
      <c r="D338" s="2" t="s">
        <v>18</v>
      </c>
      <c r="E338" s="2" t="n">
        <v>86411</v>
      </c>
      <c r="F338" s="2" t="n">
        <v>8</v>
      </c>
      <c r="G338" s="2" t="n">
        <v>3</v>
      </c>
      <c r="H338" s="2" t="n">
        <v>20</v>
      </c>
      <c r="I338" s="2" t="s">
        <v>13</v>
      </c>
      <c r="J338" s="2" t="s">
        <v>14</v>
      </c>
      <c r="K338" s="2" t="n">
        <v>100</v>
      </c>
    </row>
    <row r="339" customFormat="false" ht="15" hidden="false" customHeight="false" outlineLevel="0" collapsed="false">
      <c r="A339" s="3" t="n">
        <v>338</v>
      </c>
      <c r="B339" s="3" t="n">
        <v>31</v>
      </c>
      <c r="C339" s="3" t="s">
        <v>17</v>
      </c>
      <c r="D339" s="3" t="s">
        <v>18</v>
      </c>
      <c r="E339" s="3" t="n">
        <v>112646</v>
      </c>
      <c r="F339" s="3" t="n">
        <v>6</v>
      </c>
      <c r="G339" s="3" t="n">
        <v>5</v>
      </c>
      <c r="H339" s="3" t="n">
        <v>8</v>
      </c>
      <c r="I339" s="3" t="s">
        <v>21</v>
      </c>
      <c r="J339" s="3" t="s">
        <v>19</v>
      </c>
      <c r="K339" s="3" t="n">
        <v>86.84</v>
      </c>
    </row>
    <row r="340" customFormat="false" ht="15" hidden="false" customHeight="false" outlineLevel="0" collapsed="false">
      <c r="A340" s="2" t="n">
        <v>339</v>
      </c>
      <c r="B340" s="2" t="n">
        <v>38</v>
      </c>
      <c r="C340" s="2" t="s">
        <v>11</v>
      </c>
      <c r="D340" s="2" t="s">
        <v>12</v>
      </c>
      <c r="E340" s="2" t="n">
        <v>31620</v>
      </c>
      <c r="F340" s="2" t="n">
        <v>10</v>
      </c>
      <c r="G340" s="2" t="n">
        <v>2</v>
      </c>
      <c r="H340" s="2" t="n">
        <v>13</v>
      </c>
      <c r="I340" s="2" t="s">
        <v>13</v>
      </c>
      <c r="J340" s="2" t="s">
        <v>19</v>
      </c>
      <c r="K340" s="2" t="n">
        <v>70.93</v>
      </c>
    </row>
    <row r="341" customFormat="false" ht="15" hidden="false" customHeight="false" outlineLevel="0" collapsed="false">
      <c r="A341" s="3" t="n">
        <v>340</v>
      </c>
      <c r="B341" s="3" t="n">
        <v>65</v>
      </c>
      <c r="C341" s="3" t="s">
        <v>11</v>
      </c>
      <c r="D341" s="3" t="s">
        <v>22</v>
      </c>
      <c r="E341" s="3" t="n">
        <v>78661</v>
      </c>
      <c r="F341" s="3" t="n">
        <v>6</v>
      </c>
      <c r="G341" s="3" t="n">
        <v>7</v>
      </c>
      <c r="H341" s="3" t="n">
        <v>5</v>
      </c>
      <c r="I341" s="3" t="s">
        <v>21</v>
      </c>
      <c r="J341" s="3" t="s">
        <v>16</v>
      </c>
      <c r="K341" s="3" t="n">
        <v>100</v>
      </c>
    </row>
    <row r="342" customFormat="false" ht="15" hidden="false" customHeight="false" outlineLevel="0" collapsed="false">
      <c r="A342" s="2" t="n">
        <v>341</v>
      </c>
      <c r="B342" s="2" t="n">
        <v>37</v>
      </c>
      <c r="C342" s="2" t="s">
        <v>11</v>
      </c>
      <c r="D342" s="2" t="s">
        <v>12</v>
      </c>
      <c r="E342" s="2" t="n">
        <v>84674</v>
      </c>
      <c r="F342" s="2" t="n">
        <v>8</v>
      </c>
      <c r="G342" s="2" t="n">
        <v>6</v>
      </c>
      <c r="H342" s="2" t="n">
        <v>18</v>
      </c>
      <c r="I342" s="2" t="s">
        <v>21</v>
      </c>
      <c r="J342" s="2" t="s">
        <v>16</v>
      </c>
      <c r="K342" s="2" t="n">
        <v>100</v>
      </c>
    </row>
    <row r="343" customFormat="false" ht="15" hidden="false" customHeight="false" outlineLevel="0" collapsed="false">
      <c r="A343" s="3" t="n">
        <v>342</v>
      </c>
      <c r="B343" s="3" t="n">
        <v>25</v>
      </c>
      <c r="C343" s="3" t="s">
        <v>17</v>
      </c>
      <c r="D343" s="3" t="s">
        <v>23</v>
      </c>
      <c r="E343" s="3" t="n">
        <v>101153</v>
      </c>
      <c r="F343" s="3" t="n">
        <v>8</v>
      </c>
      <c r="G343" s="3" t="n">
        <v>10</v>
      </c>
      <c r="H343" s="3" t="n">
        <v>7</v>
      </c>
      <c r="I343" s="3" t="s">
        <v>21</v>
      </c>
      <c r="J343" s="3" t="s">
        <v>16</v>
      </c>
      <c r="K343" s="3" t="n">
        <v>100</v>
      </c>
    </row>
    <row r="344" customFormat="false" ht="15" hidden="false" customHeight="false" outlineLevel="0" collapsed="false">
      <c r="A344" s="2" t="n">
        <v>343</v>
      </c>
      <c r="B344" s="2" t="n">
        <v>24</v>
      </c>
      <c r="C344" s="2" t="s">
        <v>17</v>
      </c>
      <c r="D344" s="2" t="s">
        <v>18</v>
      </c>
      <c r="E344" s="2" t="n">
        <v>75097</v>
      </c>
      <c r="F344" s="2" t="n">
        <v>1</v>
      </c>
      <c r="G344" s="2" t="n">
        <v>4</v>
      </c>
      <c r="H344" s="2" t="n">
        <v>10</v>
      </c>
      <c r="I344" s="2" t="s">
        <v>21</v>
      </c>
      <c r="J344" s="2" t="s">
        <v>16</v>
      </c>
      <c r="K344" s="2" t="n">
        <v>65.09</v>
      </c>
    </row>
    <row r="345" customFormat="false" ht="15" hidden="false" customHeight="false" outlineLevel="0" collapsed="false">
      <c r="A345" s="3" t="n">
        <v>344</v>
      </c>
      <c r="B345" s="3" t="n">
        <v>20</v>
      </c>
      <c r="C345" s="3" t="s">
        <v>17</v>
      </c>
      <c r="D345" s="3" t="s">
        <v>22</v>
      </c>
      <c r="E345" s="3" t="n">
        <v>62227</v>
      </c>
      <c r="F345" s="3" t="n">
        <v>9</v>
      </c>
      <c r="G345" s="3" t="n">
        <v>8</v>
      </c>
      <c r="H345" s="3" t="n">
        <v>8</v>
      </c>
      <c r="I345" s="3" t="s">
        <v>15</v>
      </c>
      <c r="J345" s="3" t="s">
        <v>14</v>
      </c>
      <c r="K345" s="3" t="n">
        <v>100</v>
      </c>
    </row>
    <row r="346" customFormat="false" ht="15" hidden="false" customHeight="false" outlineLevel="0" collapsed="false">
      <c r="A346" s="2" t="n">
        <v>345</v>
      </c>
      <c r="B346" s="2" t="n">
        <v>34</v>
      </c>
      <c r="C346" s="2" t="s">
        <v>11</v>
      </c>
      <c r="D346" s="2" t="s">
        <v>20</v>
      </c>
      <c r="E346" s="2" t="n">
        <v>106958</v>
      </c>
      <c r="F346" s="2" t="n">
        <v>4</v>
      </c>
      <c r="G346" s="2" t="n">
        <v>5</v>
      </c>
      <c r="H346" s="2" t="n">
        <v>2</v>
      </c>
      <c r="I346" s="2" t="s">
        <v>13</v>
      </c>
      <c r="J346" s="2" t="s">
        <v>19</v>
      </c>
      <c r="K346" s="2" t="n">
        <v>89.1</v>
      </c>
    </row>
    <row r="347" customFormat="false" ht="15" hidden="false" customHeight="false" outlineLevel="0" collapsed="false">
      <c r="A347" s="3" t="n">
        <v>346</v>
      </c>
      <c r="B347" s="3" t="n">
        <v>50</v>
      </c>
      <c r="C347" s="3" t="s">
        <v>11</v>
      </c>
      <c r="D347" s="3" t="s">
        <v>22</v>
      </c>
      <c r="E347" s="3" t="n">
        <v>38441</v>
      </c>
      <c r="F347" s="3" t="n">
        <v>2</v>
      </c>
      <c r="G347" s="3" t="n">
        <v>7</v>
      </c>
      <c r="H347" s="3" t="n">
        <v>2</v>
      </c>
      <c r="I347" s="3" t="s">
        <v>21</v>
      </c>
      <c r="J347" s="3" t="s">
        <v>14</v>
      </c>
      <c r="K347" s="3" t="n">
        <v>72.7</v>
      </c>
    </row>
    <row r="348" customFormat="false" ht="15" hidden="false" customHeight="false" outlineLevel="0" collapsed="false">
      <c r="A348" s="2" t="n">
        <v>347</v>
      </c>
      <c r="B348" s="2" t="n">
        <v>65</v>
      </c>
      <c r="C348" s="2" t="s">
        <v>11</v>
      </c>
      <c r="D348" s="2" t="s">
        <v>20</v>
      </c>
      <c r="E348" s="2" t="n">
        <v>30330</v>
      </c>
      <c r="F348" s="2" t="n">
        <v>3</v>
      </c>
      <c r="G348" s="2" t="n">
        <v>8</v>
      </c>
      <c r="H348" s="2" t="n">
        <v>12</v>
      </c>
      <c r="I348" s="2" t="s">
        <v>13</v>
      </c>
      <c r="J348" s="2" t="s">
        <v>19</v>
      </c>
      <c r="K348" s="2" t="n">
        <v>79.73</v>
      </c>
    </row>
    <row r="349" customFormat="false" ht="15" hidden="false" customHeight="false" outlineLevel="0" collapsed="false">
      <c r="A349" s="3" t="n">
        <v>348</v>
      </c>
      <c r="B349" s="3" t="n">
        <v>29</v>
      </c>
      <c r="C349" s="3" t="s">
        <v>17</v>
      </c>
      <c r="D349" s="3" t="s">
        <v>22</v>
      </c>
      <c r="E349" s="3" t="n">
        <v>97408</v>
      </c>
      <c r="F349" s="3" t="n">
        <v>7</v>
      </c>
      <c r="G349" s="3" t="n">
        <v>8</v>
      </c>
      <c r="H349" s="3" t="n">
        <v>3</v>
      </c>
      <c r="I349" s="3" t="s">
        <v>21</v>
      </c>
      <c r="J349" s="3" t="s">
        <v>16</v>
      </c>
      <c r="K349" s="3" t="n">
        <v>100</v>
      </c>
    </row>
    <row r="350" customFormat="false" ht="15" hidden="false" customHeight="false" outlineLevel="0" collapsed="false">
      <c r="A350" s="2" t="n">
        <v>349</v>
      </c>
      <c r="B350" s="2" t="n">
        <v>68</v>
      </c>
      <c r="C350" s="2" t="s">
        <v>17</v>
      </c>
      <c r="D350" s="2" t="s">
        <v>18</v>
      </c>
      <c r="E350" s="2" t="n">
        <v>62480</v>
      </c>
      <c r="F350" s="2" t="n">
        <v>9</v>
      </c>
      <c r="G350" s="2" t="n">
        <v>6</v>
      </c>
      <c r="H350" s="2" t="n">
        <v>8</v>
      </c>
      <c r="I350" s="2" t="s">
        <v>15</v>
      </c>
      <c r="J350" s="2" t="s">
        <v>16</v>
      </c>
      <c r="K350" s="2" t="n">
        <v>100</v>
      </c>
    </row>
    <row r="351" customFormat="false" ht="15" hidden="false" customHeight="false" outlineLevel="0" collapsed="false">
      <c r="A351" s="3" t="n">
        <v>350</v>
      </c>
      <c r="B351" s="3" t="n">
        <v>39</v>
      </c>
      <c r="C351" s="3" t="s">
        <v>11</v>
      </c>
      <c r="D351" s="3" t="s">
        <v>20</v>
      </c>
      <c r="E351" s="3" t="n">
        <v>35482</v>
      </c>
      <c r="F351" s="3" t="n">
        <v>7</v>
      </c>
      <c r="G351" s="3" t="n">
        <v>9</v>
      </c>
      <c r="H351" s="3" t="n">
        <v>11</v>
      </c>
      <c r="I351" s="3" t="s">
        <v>21</v>
      </c>
      <c r="J351" s="3" t="s">
        <v>16</v>
      </c>
      <c r="K351" s="3" t="n">
        <v>100</v>
      </c>
    </row>
    <row r="352" customFormat="false" ht="15" hidden="false" customHeight="false" outlineLevel="0" collapsed="false">
      <c r="A352" s="2" t="n">
        <v>351</v>
      </c>
      <c r="B352" s="2" t="n">
        <v>39</v>
      </c>
      <c r="C352" s="2" t="s">
        <v>11</v>
      </c>
      <c r="D352" s="2" t="s">
        <v>20</v>
      </c>
      <c r="E352" s="2" t="n">
        <v>54025</v>
      </c>
      <c r="F352" s="2" t="n">
        <v>1</v>
      </c>
      <c r="G352" s="2" t="n">
        <v>8</v>
      </c>
      <c r="H352" s="2" t="n">
        <v>11</v>
      </c>
      <c r="I352" s="2" t="s">
        <v>15</v>
      </c>
      <c r="J352" s="2" t="s">
        <v>19</v>
      </c>
      <c r="K352" s="2" t="n">
        <v>75.63</v>
      </c>
    </row>
    <row r="353" customFormat="false" ht="15" hidden="false" customHeight="false" outlineLevel="0" collapsed="false">
      <c r="A353" s="3" t="n">
        <v>352</v>
      </c>
      <c r="B353" s="3" t="n">
        <v>63</v>
      </c>
      <c r="C353" s="3" t="s">
        <v>17</v>
      </c>
      <c r="D353" s="3" t="s">
        <v>23</v>
      </c>
      <c r="E353" s="3" t="n">
        <v>35539</v>
      </c>
      <c r="F353" s="3" t="n">
        <v>6</v>
      </c>
      <c r="G353" s="3" t="n">
        <v>5</v>
      </c>
      <c r="H353" s="3" t="n">
        <v>10</v>
      </c>
      <c r="I353" s="3" t="s">
        <v>21</v>
      </c>
      <c r="J353" s="3" t="s">
        <v>19</v>
      </c>
      <c r="K353" s="3" t="n">
        <v>100</v>
      </c>
    </row>
    <row r="354" customFormat="false" ht="15" hidden="false" customHeight="false" outlineLevel="0" collapsed="false">
      <c r="A354" s="2" t="n">
        <v>353</v>
      </c>
      <c r="B354" s="2" t="n">
        <v>47</v>
      </c>
      <c r="C354" s="2" t="s">
        <v>11</v>
      </c>
      <c r="D354" s="2" t="s">
        <v>22</v>
      </c>
      <c r="E354" s="2" t="n">
        <v>35569</v>
      </c>
      <c r="F354" s="2" t="n">
        <v>6</v>
      </c>
      <c r="G354" s="2" t="n">
        <v>2</v>
      </c>
      <c r="H354" s="2" t="n">
        <v>19</v>
      </c>
      <c r="I354" s="2" t="s">
        <v>13</v>
      </c>
      <c r="J354" s="2" t="s">
        <v>14</v>
      </c>
      <c r="K354" s="2" t="n">
        <v>81.23</v>
      </c>
    </row>
    <row r="355" customFormat="false" ht="15" hidden="false" customHeight="false" outlineLevel="0" collapsed="false">
      <c r="A355" s="3" t="n">
        <v>354</v>
      </c>
      <c r="B355" s="3" t="n">
        <v>55</v>
      </c>
      <c r="C355" s="3" t="s">
        <v>11</v>
      </c>
      <c r="D355" s="3" t="s">
        <v>12</v>
      </c>
      <c r="E355" s="3" t="n">
        <v>44199</v>
      </c>
      <c r="F355" s="3" t="n">
        <v>5</v>
      </c>
      <c r="G355" s="3" t="n">
        <v>9</v>
      </c>
      <c r="H355" s="3" t="n">
        <v>19</v>
      </c>
      <c r="I355" s="3" t="s">
        <v>21</v>
      </c>
      <c r="J355" s="3" t="s">
        <v>19</v>
      </c>
      <c r="K355" s="3" t="n">
        <v>100</v>
      </c>
    </row>
    <row r="356" customFormat="false" ht="15" hidden="false" customHeight="false" outlineLevel="0" collapsed="false">
      <c r="A356" s="2" t="n">
        <v>355</v>
      </c>
      <c r="B356" s="2" t="n">
        <v>55</v>
      </c>
      <c r="C356" s="2" t="s">
        <v>11</v>
      </c>
      <c r="D356" s="2" t="s">
        <v>12</v>
      </c>
      <c r="E356" s="2" t="n">
        <v>39406</v>
      </c>
      <c r="F356" s="2" t="n">
        <v>1</v>
      </c>
      <c r="G356" s="2" t="n">
        <v>10</v>
      </c>
      <c r="H356" s="2" t="n">
        <v>18</v>
      </c>
      <c r="I356" s="2" t="s">
        <v>13</v>
      </c>
      <c r="J356" s="2" t="s">
        <v>16</v>
      </c>
      <c r="K356" s="2" t="n">
        <v>100</v>
      </c>
    </row>
    <row r="357" customFormat="false" ht="15" hidden="false" customHeight="false" outlineLevel="0" collapsed="false">
      <c r="A357" s="3" t="n">
        <v>356</v>
      </c>
      <c r="B357" s="3" t="n">
        <v>62</v>
      </c>
      <c r="C357" s="3" t="s">
        <v>17</v>
      </c>
      <c r="D357" s="3" t="s">
        <v>23</v>
      </c>
      <c r="E357" s="3" t="n">
        <v>118433</v>
      </c>
      <c r="F357" s="3" t="n">
        <v>5</v>
      </c>
      <c r="G357" s="3" t="n">
        <v>10</v>
      </c>
      <c r="H357" s="3" t="n">
        <v>12</v>
      </c>
      <c r="I357" s="3" t="s">
        <v>15</v>
      </c>
      <c r="J357" s="3" t="s">
        <v>14</v>
      </c>
      <c r="K357" s="3" t="n">
        <v>100</v>
      </c>
    </row>
    <row r="358" customFormat="false" ht="15" hidden="false" customHeight="false" outlineLevel="0" collapsed="false">
      <c r="A358" s="2" t="n">
        <v>357</v>
      </c>
      <c r="B358" s="2" t="n">
        <v>68</v>
      </c>
      <c r="C358" s="2" t="s">
        <v>11</v>
      </c>
      <c r="D358" s="2" t="s">
        <v>23</v>
      </c>
      <c r="E358" s="2" t="n">
        <v>52806</v>
      </c>
      <c r="F358" s="2" t="n">
        <v>5</v>
      </c>
      <c r="G358" s="2" t="n">
        <v>9</v>
      </c>
      <c r="H358" s="2" t="n">
        <v>7</v>
      </c>
      <c r="I358" s="2" t="s">
        <v>13</v>
      </c>
      <c r="J358" s="2" t="s">
        <v>16</v>
      </c>
      <c r="K358" s="2" t="n">
        <v>100</v>
      </c>
    </row>
    <row r="359" customFormat="false" ht="15" hidden="false" customHeight="false" outlineLevel="0" collapsed="false">
      <c r="A359" s="3" t="n">
        <v>358</v>
      </c>
      <c r="B359" s="3" t="n">
        <v>25</v>
      </c>
      <c r="C359" s="3" t="s">
        <v>17</v>
      </c>
      <c r="D359" s="3" t="s">
        <v>23</v>
      </c>
      <c r="E359" s="3" t="n">
        <v>60769</v>
      </c>
      <c r="F359" s="3" t="n">
        <v>8</v>
      </c>
      <c r="G359" s="3" t="n">
        <v>5</v>
      </c>
      <c r="H359" s="3" t="n">
        <v>7</v>
      </c>
      <c r="I359" s="3" t="s">
        <v>21</v>
      </c>
      <c r="J359" s="3" t="s">
        <v>19</v>
      </c>
      <c r="K359" s="3" t="n">
        <v>90.51</v>
      </c>
    </row>
    <row r="360" customFormat="false" ht="15" hidden="false" customHeight="false" outlineLevel="0" collapsed="false">
      <c r="A360" s="2" t="n">
        <v>359</v>
      </c>
      <c r="B360" s="2" t="n">
        <v>44</v>
      </c>
      <c r="C360" s="2" t="s">
        <v>11</v>
      </c>
      <c r="D360" s="2" t="s">
        <v>18</v>
      </c>
      <c r="E360" s="2" t="n">
        <v>82544</v>
      </c>
      <c r="F360" s="2" t="n">
        <v>5</v>
      </c>
      <c r="G360" s="2" t="n">
        <v>8</v>
      </c>
      <c r="H360" s="2" t="n">
        <v>13</v>
      </c>
      <c r="I360" s="2" t="s">
        <v>21</v>
      </c>
      <c r="J360" s="2" t="s">
        <v>14</v>
      </c>
      <c r="K360" s="2" t="n">
        <v>100</v>
      </c>
    </row>
    <row r="361" customFormat="false" ht="15" hidden="false" customHeight="false" outlineLevel="0" collapsed="false">
      <c r="A361" s="3" t="n">
        <v>360</v>
      </c>
      <c r="B361" s="3" t="n">
        <v>44</v>
      </c>
      <c r="C361" s="3" t="s">
        <v>17</v>
      </c>
      <c r="D361" s="3" t="s">
        <v>18</v>
      </c>
      <c r="E361" s="3" t="n">
        <v>35117</v>
      </c>
      <c r="F361" s="3" t="n">
        <v>5</v>
      </c>
      <c r="G361" s="3" t="n">
        <v>1</v>
      </c>
      <c r="H361" s="3" t="n">
        <v>16</v>
      </c>
      <c r="I361" s="3" t="s">
        <v>21</v>
      </c>
      <c r="J361" s="3" t="s">
        <v>14</v>
      </c>
      <c r="K361" s="3" t="n">
        <v>62.5</v>
      </c>
    </row>
    <row r="362" customFormat="false" ht="15" hidden="false" customHeight="false" outlineLevel="0" collapsed="false">
      <c r="A362" s="2" t="n">
        <v>361</v>
      </c>
      <c r="B362" s="2" t="n">
        <v>51</v>
      </c>
      <c r="C362" s="2" t="s">
        <v>17</v>
      </c>
      <c r="D362" s="2" t="s">
        <v>18</v>
      </c>
      <c r="E362" s="2" t="n">
        <v>77801</v>
      </c>
      <c r="F362" s="2" t="n">
        <v>9</v>
      </c>
      <c r="G362" s="2" t="n">
        <v>10</v>
      </c>
      <c r="H362" s="2" t="n">
        <v>15</v>
      </c>
      <c r="I362" s="2" t="s">
        <v>21</v>
      </c>
      <c r="J362" s="2" t="s">
        <v>14</v>
      </c>
      <c r="K362" s="2" t="n">
        <v>100</v>
      </c>
    </row>
    <row r="363" customFormat="false" ht="15" hidden="false" customHeight="false" outlineLevel="0" collapsed="false">
      <c r="A363" s="3" t="n">
        <v>362</v>
      </c>
      <c r="B363" s="3" t="n">
        <v>38</v>
      </c>
      <c r="C363" s="3" t="s">
        <v>17</v>
      </c>
      <c r="D363" s="3" t="s">
        <v>18</v>
      </c>
      <c r="E363" s="3" t="n">
        <v>105428</v>
      </c>
      <c r="F363" s="3" t="n">
        <v>6</v>
      </c>
      <c r="G363" s="3" t="n">
        <v>8</v>
      </c>
      <c r="H363" s="3" t="n">
        <v>19</v>
      </c>
      <c r="I363" s="3" t="s">
        <v>15</v>
      </c>
      <c r="J363" s="3" t="s">
        <v>16</v>
      </c>
      <c r="K363" s="3" t="n">
        <v>100</v>
      </c>
    </row>
    <row r="364" customFormat="false" ht="15" hidden="false" customHeight="false" outlineLevel="0" collapsed="false">
      <c r="A364" s="2" t="n">
        <v>363</v>
      </c>
      <c r="B364" s="2" t="n">
        <v>47</v>
      </c>
      <c r="C364" s="2" t="s">
        <v>11</v>
      </c>
      <c r="D364" s="2" t="s">
        <v>23</v>
      </c>
      <c r="E364" s="2" t="n">
        <v>68276</v>
      </c>
      <c r="F364" s="2" t="n">
        <v>9</v>
      </c>
      <c r="G364" s="2" t="n">
        <v>2</v>
      </c>
      <c r="H364" s="2" t="n">
        <v>11</v>
      </c>
      <c r="I364" s="2" t="s">
        <v>13</v>
      </c>
      <c r="J364" s="2" t="s">
        <v>14</v>
      </c>
      <c r="K364" s="2" t="n">
        <v>96.86</v>
      </c>
    </row>
    <row r="365" customFormat="false" ht="15" hidden="false" customHeight="false" outlineLevel="0" collapsed="false">
      <c r="A365" s="3" t="n">
        <v>364</v>
      </c>
      <c r="B365" s="3" t="n">
        <v>50</v>
      </c>
      <c r="C365" s="3" t="s">
        <v>11</v>
      </c>
      <c r="D365" s="3" t="s">
        <v>23</v>
      </c>
      <c r="E365" s="3" t="n">
        <v>34706</v>
      </c>
      <c r="F365" s="3" t="n">
        <v>10</v>
      </c>
      <c r="G365" s="3" t="n">
        <v>2</v>
      </c>
      <c r="H365" s="3" t="n">
        <v>13</v>
      </c>
      <c r="I365" s="3" t="s">
        <v>15</v>
      </c>
      <c r="J365" s="3" t="s">
        <v>14</v>
      </c>
      <c r="K365" s="3" t="n">
        <v>100</v>
      </c>
    </row>
    <row r="366" customFormat="false" ht="15" hidden="false" customHeight="false" outlineLevel="0" collapsed="false">
      <c r="A366" s="2" t="n">
        <v>365</v>
      </c>
      <c r="B366" s="2" t="n">
        <v>45</v>
      </c>
      <c r="C366" s="2" t="s">
        <v>11</v>
      </c>
      <c r="D366" s="2" t="s">
        <v>18</v>
      </c>
      <c r="E366" s="2" t="n">
        <v>39845</v>
      </c>
      <c r="F366" s="2" t="n">
        <v>9</v>
      </c>
      <c r="G366" s="2" t="n">
        <v>4</v>
      </c>
      <c r="H366" s="2" t="n">
        <v>3</v>
      </c>
      <c r="I366" s="2" t="s">
        <v>15</v>
      </c>
      <c r="J366" s="2" t="s">
        <v>16</v>
      </c>
      <c r="K366" s="2" t="n">
        <v>100</v>
      </c>
    </row>
    <row r="367" customFormat="false" ht="15" hidden="false" customHeight="false" outlineLevel="0" collapsed="false">
      <c r="A367" s="3" t="n">
        <v>366</v>
      </c>
      <c r="B367" s="3" t="n">
        <v>64</v>
      </c>
      <c r="C367" s="3" t="s">
        <v>17</v>
      </c>
      <c r="D367" s="3" t="s">
        <v>18</v>
      </c>
      <c r="E367" s="3" t="n">
        <v>59941</v>
      </c>
      <c r="F367" s="3" t="n">
        <v>4</v>
      </c>
      <c r="G367" s="3" t="n">
        <v>3</v>
      </c>
      <c r="H367" s="3" t="n">
        <v>20</v>
      </c>
      <c r="I367" s="3" t="s">
        <v>21</v>
      </c>
      <c r="J367" s="3" t="s">
        <v>16</v>
      </c>
      <c r="K367" s="3" t="n">
        <v>81.1</v>
      </c>
    </row>
    <row r="368" customFormat="false" ht="15" hidden="false" customHeight="false" outlineLevel="0" collapsed="false">
      <c r="A368" s="2" t="n">
        <v>367</v>
      </c>
      <c r="B368" s="2" t="n">
        <v>50</v>
      </c>
      <c r="C368" s="2" t="s">
        <v>17</v>
      </c>
      <c r="D368" s="2" t="s">
        <v>20</v>
      </c>
      <c r="E368" s="2" t="n">
        <v>73929</v>
      </c>
      <c r="F368" s="2" t="n">
        <v>3</v>
      </c>
      <c r="G368" s="2" t="n">
        <v>9</v>
      </c>
      <c r="H368" s="2" t="n">
        <v>12</v>
      </c>
      <c r="I368" s="2" t="s">
        <v>15</v>
      </c>
      <c r="J368" s="2" t="s">
        <v>14</v>
      </c>
      <c r="K368" s="2" t="n">
        <v>100</v>
      </c>
    </row>
    <row r="369" customFormat="false" ht="15" hidden="false" customHeight="false" outlineLevel="0" collapsed="false">
      <c r="A369" s="3" t="n">
        <v>368</v>
      </c>
      <c r="B369" s="3" t="n">
        <v>22</v>
      </c>
      <c r="C369" s="3" t="s">
        <v>11</v>
      </c>
      <c r="D369" s="3" t="s">
        <v>22</v>
      </c>
      <c r="E369" s="3" t="n">
        <v>61529</v>
      </c>
      <c r="F369" s="3" t="n">
        <v>7</v>
      </c>
      <c r="G369" s="3" t="n">
        <v>10</v>
      </c>
      <c r="H369" s="3" t="n">
        <v>6</v>
      </c>
      <c r="I369" s="3" t="s">
        <v>15</v>
      </c>
      <c r="J369" s="3" t="s">
        <v>19</v>
      </c>
      <c r="K369" s="3" t="n">
        <v>100</v>
      </c>
    </row>
    <row r="370" customFormat="false" ht="15" hidden="false" customHeight="false" outlineLevel="0" collapsed="false">
      <c r="A370" s="2" t="n">
        <v>369</v>
      </c>
      <c r="B370" s="2" t="n">
        <v>65</v>
      </c>
      <c r="C370" s="2" t="s">
        <v>17</v>
      </c>
      <c r="D370" s="2" t="s">
        <v>20</v>
      </c>
      <c r="E370" s="2" t="n">
        <v>68554</v>
      </c>
      <c r="F370" s="2" t="n">
        <v>4</v>
      </c>
      <c r="G370" s="2" t="n">
        <v>3</v>
      </c>
      <c r="H370" s="2" t="n">
        <v>3</v>
      </c>
      <c r="I370" s="2" t="s">
        <v>15</v>
      </c>
      <c r="J370" s="2" t="s">
        <v>14</v>
      </c>
      <c r="K370" s="2" t="n">
        <v>85.45</v>
      </c>
    </row>
    <row r="371" customFormat="false" ht="15" hidden="false" customHeight="false" outlineLevel="0" collapsed="false">
      <c r="A371" s="3" t="n">
        <v>370</v>
      </c>
      <c r="B371" s="3" t="n">
        <v>36</v>
      </c>
      <c r="C371" s="3" t="s">
        <v>17</v>
      </c>
      <c r="D371" s="3" t="s">
        <v>22</v>
      </c>
      <c r="E371" s="3" t="n">
        <v>115941</v>
      </c>
      <c r="F371" s="3" t="n">
        <v>6</v>
      </c>
      <c r="G371" s="3" t="n">
        <v>9</v>
      </c>
      <c r="H371" s="3" t="n">
        <v>6</v>
      </c>
      <c r="I371" s="3" t="s">
        <v>13</v>
      </c>
      <c r="J371" s="3" t="s">
        <v>16</v>
      </c>
      <c r="K371" s="3" t="n">
        <v>100</v>
      </c>
    </row>
    <row r="372" customFormat="false" ht="15" hidden="false" customHeight="false" outlineLevel="0" collapsed="false">
      <c r="A372" s="2" t="n">
        <v>371</v>
      </c>
      <c r="B372" s="2" t="n">
        <v>21</v>
      </c>
      <c r="C372" s="2" t="s">
        <v>11</v>
      </c>
      <c r="D372" s="2" t="s">
        <v>18</v>
      </c>
      <c r="E372" s="2" t="n">
        <v>77185</v>
      </c>
      <c r="F372" s="2" t="n">
        <v>6</v>
      </c>
      <c r="G372" s="2" t="n">
        <v>5</v>
      </c>
      <c r="H372" s="2" t="n">
        <v>15</v>
      </c>
      <c r="I372" s="2" t="s">
        <v>13</v>
      </c>
      <c r="J372" s="2" t="s">
        <v>19</v>
      </c>
      <c r="K372" s="2" t="n">
        <v>100</v>
      </c>
    </row>
    <row r="373" customFormat="false" ht="15" hidden="false" customHeight="false" outlineLevel="0" collapsed="false">
      <c r="A373" s="3" t="n">
        <v>372</v>
      </c>
      <c r="B373" s="3" t="n">
        <v>52</v>
      </c>
      <c r="C373" s="3" t="s">
        <v>17</v>
      </c>
      <c r="D373" s="3" t="s">
        <v>18</v>
      </c>
      <c r="E373" s="3" t="n">
        <v>35722</v>
      </c>
      <c r="F373" s="3" t="n">
        <v>8</v>
      </c>
      <c r="G373" s="3" t="n">
        <v>8</v>
      </c>
      <c r="H373" s="3" t="n">
        <v>1</v>
      </c>
      <c r="I373" s="3" t="s">
        <v>15</v>
      </c>
      <c r="J373" s="3" t="s">
        <v>16</v>
      </c>
      <c r="K373" s="3" t="n">
        <v>100</v>
      </c>
    </row>
    <row r="374" customFormat="false" ht="15" hidden="false" customHeight="false" outlineLevel="0" collapsed="false">
      <c r="A374" s="2" t="n">
        <v>373</v>
      </c>
      <c r="B374" s="2" t="n">
        <v>66</v>
      </c>
      <c r="C374" s="2" t="s">
        <v>11</v>
      </c>
      <c r="D374" s="2" t="s">
        <v>18</v>
      </c>
      <c r="E374" s="2" t="n">
        <v>59304</v>
      </c>
      <c r="F374" s="2" t="n">
        <v>9</v>
      </c>
      <c r="G374" s="2" t="n">
        <v>7</v>
      </c>
      <c r="H374" s="2" t="n">
        <v>12</v>
      </c>
      <c r="I374" s="2" t="s">
        <v>13</v>
      </c>
      <c r="J374" s="2" t="s">
        <v>14</v>
      </c>
      <c r="K374" s="2" t="n">
        <v>100</v>
      </c>
    </row>
    <row r="375" customFormat="false" ht="15" hidden="false" customHeight="false" outlineLevel="0" collapsed="false">
      <c r="A375" s="3" t="n">
        <v>374</v>
      </c>
      <c r="B375" s="3" t="n">
        <v>34</v>
      </c>
      <c r="C375" s="3" t="s">
        <v>11</v>
      </c>
      <c r="D375" s="3" t="s">
        <v>20</v>
      </c>
      <c r="E375" s="3" t="n">
        <v>108282</v>
      </c>
      <c r="F375" s="3" t="n">
        <v>7</v>
      </c>
      <c r="G375" s="3" t="n">
        <v>8</v>
      </c>
      <c r="H375" s="3" t="n">
        <v>1</v>
      </c>
      <c r="I375" s="3" t="s">
        <v>21</v>
      </c>
      <c r="J375" s="3" t="s">
        <v>14</v>
      </c>
      <c r="K375" s="3" t="n">
        <v>100</v>
      </c>
    </row>
    <row r="376" customFormat="false" ht="15" hidden="false" customHeight="false" outlineLevel="0" collapsed="false">
      <c r="A376" s="2" t="n">
        <v>375</v>
      </c>
      <c r="B376" s="2" t="n">
        <v>61</v>
      </c>
      <c r="C376" s="2" t="s">
        <v>17</v>
      </c>
      <c r="D376" s="2" t="s">
        <v>23</v>
      </c>
      <c r="E376" s="2" t="n">
        <v>119879</v>
      </c>
      <c r="F376" s="2" t="n">
        <v>6</v>
      </c>
      <c r="G376" s="2" t="n">
        <v>9</v>
      </c>
      <c r="H376" s="2" t="n">
        <v>5</v>
      </c>
      <c r="I376" s="2" t="s">
        <v>15</v>
      </c>
      <c r="J376" s="2" t="s">
        <v>19</v>
      </c>
      <c r="K376" s="2" t="n">
        <v>100</v>
      </c>
    </row>
    <row r="377" customFormat="false" ht="15" hidden="false" customHeight="false" outlineLevel="0" collapsed="false">
      <c r="A377" s="3" t="n">
        <v>376</v>
      </c>
      <c r="B377" s="3" t="n">
        <v>45</v>
      </c>
      <c r="C377" s="3" t="s">
        <v>11</v>
      </c>
      <c r="D377" s="3" t="s">
        <v>22</v>
      </c>
      <c r="E377" s="3" t="n">
        <v>115373</v>
      </c>
      <c r="F377" s="3" t="n">
        <v>1</v>
      </c>
      <c r="G377" s="3" t="n">
        <v>2</v>
      </c>
      <c r="H377" s="3" t="n">
        <v>13</v>
      </c>
      <c r="I377" s="3" t="s">
        <v>21</v>
      </c>
      <c r="J377" s="3" t="s">
        <v>14</v>
      </c>
      <c r="K377" s="3" t="n">
        <v>65.07</v>
      </c>
    </row>
    <row r="378" customFormat="false" ht="15" hidden="false" customHeight="false" outlineLevel="0" collapsed="false">
      <c r="A378" s="2" t="n">
        <v>377</v>
      </c>
      <c r="B378" s="2" t="n">
        <v>47</v>
      </c>
      <c r="C378" s="2" t="s">
        <v>17</v>
      </c>
      <c r="D378" s="2" t="s">
        <v>20</v>
      </c>
      <c r="E378" s="2" t="n">
        <v>100310</v>
      </c>
      <c r="F378" s="2" t="n">
        <v>4</v>
      </c>
      <c r="G378" s="2" t="n">
        <v>9</v>
      </c>
      <c r="H378" s="2" t="n">
        <v>6</v>
      </c>
      <c r="I378" s="2" t="s">
        <v>13</v>
      </c>
      <c r="J378" s="2" t="s">
        <v>16</v>
      </c>
      <c r="K378" s="2" t="n">
        <v>100</v>
      </c>
    </row>
    <row r="379" customFormat="false" ht="15" hidden="false" customHeight="false" outlineLevel="0" collapsed="false">
      <c r="A379" s="3" t="n">
        <v>378</v>
      </c>
      <c r="B379" s="3" t="n">
        <v>46</v>
      </c>
      <c r="C379" s="3" t="s">
        <v>11</v>
      </c>
      <c r="D379" s="3" t="s">
        <v>18</v>
      </c>
      <c r="E379" s="3" t="n">
        <v>65654</v>
      </c>
      <c r="F379" s="3" t="n">
        <v>2</v>
      </c>
      <c r="G379" s="3" t="n">
        <v>1</v>
      </c>
      <c r="H379" s="3" t="n">
        <v>13</v>
      </c>
      <c r="I379" s="3" t="s">
        <v>13</v>
      </c>
      <c r="J379" s="3" t="s">
        <v>19</v>
      </c>
      <c r="K379" s="3" t="n">
        <v>58.42</v>
      </c>
    </row>
    <row r="380" customFormat="false" ht="15" hidden="false" customHeight="false" outlineLevel="0" collapsed="false">
      <c r="A380" s="2" t="n">
        <v>379</v>
      </c>
      <c r="B380" s="2" t="n">
        <v>63</v>
      </c>
      <c r="C380" s="2" t="s">
        <v>11</v>
      </c>
      <c r="D380" s="2" t="s">
        <v>23</v>
      </c>
      <c r="E380" s="2" t="n">
        <v>99003</v>
      </c>
      <c r="F380" s="2" t="n">
        <v>6</v>
      </c>
      <c r="G380" s="2" t="n">
        <v>8</v>
      </c>
      <c r="H380" s="2" t="n">
        <v>10</v>
      </c>
      <c r="I380" s="2" t="s">
        <v>13</v>
      </c>
      <c r="J380" s="2" t="s">
        <v>14</v>
      </c>
      <c r="K380" s="2" t="n">
        <v>100</v>
      </c>
    </row>
    <row r="381" customFormat="false" ht="15" hidden="false" customHeight="false" outlineLevel="0" collapsed="false">
      <c r="A381" s="3" t="n">
        <v>380</v>
      </c>
      <c r="B381" s="3" t="n">
        <v>23</v>
      </c>
      <c r="C381" s="3" t="s">
        <v>11</v>
      </c>
      <c r="D381" s="3" t="s">
        <v>20</v>
      </c>
      <c r="E381" s="3" t="n">
        <v>84037</v>
      </c>
      <c r="F381" s="3" t="n">
        <v>2</v>
      </c>
      <c r="G381" s="3" t="n">
        <v>4</v>
      </c>
      <c r="H381" s="3" t="n">
        <v>17</v>
      </c>
      <c r="I381" s="3" t="s">
        <v>21</v>
      </c>
      <c r="J381" s="3" t="s">
        <v>14</v>
      </c>
      <c r="K381" s="3" t="n">
        <v>53.56</v>
      </c>
    </row>
    <row r="382" customFormat="false" ht="15" hidden="false" customHeight="false" outlineLevel="0" collapsed="false">
      <c r="A382" s="2" t="n">
        <v>381</v>
      </c>
      <c r="B382" s="2" t="n">
        <v>52</v>
      </c>
      <c r="C382" s="2" t="s">
        <v>11</v>
      </c>
      <c r="D382" s="2" t="s">
        <v>22</v>
      </c>
      <c r="E382" s="2" t="n">
        <v>35389</v>
      </c>
      <c r="F382" s="2" t="n">
        <v>5</v>
      </c>
      <c r="G382" s="2" t="n">
        <v>4</v>
      </c>
      <c r="H382" s="2" t="n">
        <v>2</v>
      </c>
      <c r="I382" s="2" t="s">
        <v>15</v>
      </c>
      <c r="J382" s="2" t="s">
        <v>19</v>
      </c>
      <c r="K382" s="2" t="n">
        <v>69.92</v>
      </c>
    </row>
    <row r="383" customFormat="false" ht="15" hidden="false" customHeight="false" outlineLevel="0" collapsed="false">
      <c r="A383" s="3" t="n">
        <v>382</v>
      </c>
      <c r="B383" s="3" t="n">
        <v>58</v>
      </c>
      <c r="C383" s="3" t="s">
        <v>11</v>
      </c>
      <c r="D383" s="3" t="s">
        <v>18</v>
      </c>
      <c r="E383" s="3" t="n">
        <v>75522</v>
      </c>
      <c r="F383" s="3" t="n">
        <v>7</v>
      </c>
      <c r="G383" s="3" t="n">
        <v>4</v>
      </c>
      <c r="H383" s="3" t="n">
        <v>17</v>
      </c>
      <c r="I383" s="3" t="s">
        <v>21</v>
      </c>
      <c r="J383" s="3" t="s">
        <v>14</v>
      </c>
      <c r="K383" s="3" t="n">
        <v>88.9</v>
      </c>
    </row>
    <row r="384" customFormat="false" ht="15" hidden="false" customHeight="false" outlineLevel="0" collapsed="false">
      <c r="A384" s="2" t="n">
        <v>383</v>
      </c>
      <c r="B384" s="2" t="n">
        <v>54</v>
      </c>
      <c r="C384" s="2" t="s">
        <v>11</v>
      </c>
      <c r="D384" s="2" t="s">
        <v>22</v>
      </c>
      <c r="E384" s="2" t="n">
        <v>103172</v>
      </c>
      <c r="F384" s="2" t="n">
        <v>6</v>
      </c>
      <c r="G384" s="2" t="n">
        <v>6</v>
      </c>
      <c r="H384" s="2" t="n">
        <v>12</v>
      </c>
      <c r="I384" s="2" t="s">
        <v>21</v>
      </c>
      <c r="J384" s="2" t="s">
        <v>16</v>
      </c>
      <c r="K384" s="2" t="n">
        <v>99.94</v>
      </c>
    </row>
    <row r="385" customFormat="false" ht="15" hidden="false" customHeight="false" outlineLevel="0" collapsed="false">
      <c r="A385" s="3" t="n">
        <v>384</v>
      </c>
      <c r="B385" s="3" t="n">
        <v>41</v>
      </c>
      <c r="C385" s="3" t="s">
        <v>11</v>
      </c>
      <c r="D385" s="3" t="s">
        <v>18</v>
      </c>
      <c r="E385" s="3" t="n">
        <v>58540</v>
      </c>
      <c r="F385" s="3" t="n">
        <v>4</v>
      </c>
      <c r="G385" s="3" t="n">
        <v>10</v>
      </c>
      <c r="H385" s="3" t="n">
        <v>7</v>
      </c>
      <c r="I385" s="3" t="s">
        <v>13</v>
      </c>
      <c r="J385" s="3" t="s">
        <v>19</v>
      </c>
      <c r="K385" s="3" t="n">
        <v>99.25</v>
      </c>
    </row>
    <row r="386" customFormat="false" ht="15" hidden="false" customHeight="false" outlineLevel="0" collapsed="false">
      <c r="A386" s="2" t="n">
        <v>385</v>
      </c>
      <c r="B386" s="2" t="n">
        <v>46</v>
      </c>
      <c r="C386" s="2" t="s">
        <v>17</v>
      </c>
      <c r="D386" s="2" t="s">
        <v>18</v>
      </c>
      <c r="E386" s="2" t="n">
        <v>61144</v>
      </c>
      <c r="F386" s="2" t="n">
        <v>5</v>
      </c>
      <c r="G386" s="2" t="n">
        <v>10</v>
      </c>
      <c r="H386" s="2" t="n">
        <v>10</v>
      </c>
      <c r="I386" s="2" t="s">
        <v>15</v>
      </c>
      <c r="J386" s="2" t="s">
        <v>19</v>
      </c>
      <c r="K386" s="2" t="n">
        <v>92.8</v>
      </c>
    </row>
    <row r="387" customFormat="false" ht="15" hidden="false" customHeight="false" outlineLevel="0" collapsed="false">
      <c r="A387" s="3" t="n">
        <v>386</v>
      </c>
      <c r="B387" s="3" t="n">
        <v>66</v>
      </c>
      <c r="C387" s="3" t="s">
        <v>11</v>
      </c>
      <c r="D387" s="3" t="s">
        <v>12</v>
      </c>
      <c r="E387" s="3" t="n">
        <v>63196</v>
      </c>
      <c r="F387" s="3" t="n">
        <v>6</v>
      </c>
      <c r="G387" s="3" t="n">
        <v>5</v>
      </c>
      <c r="H387" s="3" t="n">
        <v>13</v>
      </c>
      <c r="I387" s="3" t="s">
        <v>21</v>
      </c>
      <c r="J387" s="3" t="s">
        <v>14</v>
      </c>
      <c r="K387" s="3" t="n">
        <v>82.22</v>
      </c>
    </row>
    <row r="388" customFormat="false" ht="15" hidden="false" customHeight="false" outlineLevel="0" collapsed="false">
      <c r="A388" s="2" t="n">
        <v>387</v>
      </c>
      <c r="B388" s="2" t="n">
        <v>63</v>
      </c>
      <c r="C388" s="2" t="s">
        <v>11</v>
      </c>
      <c r="D388" s="2" t="s">
        <v>22</v>
      </c>
      <c r="E388" s="2" t="n">
        <v>40820</v>
      </c>
      <c r="F388" s="2" t="n">
        <v>8</v>
      </c>
      <c r="G388" s="2" t="n">
        <v>6</v>
      </c>
      <c r="H388" s="2" t="n">
        <v>14</v>
      </c>
      <c r="I388" s="2" t="s">
        <v>15</v>
      </c>
      <c r="J388" s="2" t="s">
        <v>19</v>
      </c>
      <c r="K388" s="2" t="n">
        <v>100</v>
      </c>
    </row>
    <row r="389" customFormat="false" ht="15" hidden="false" customHeight="false" outlineLevel="0" collapsed="false">
      <c r="A389" s="3" t="n">
        <v>388</v>
      </c>
      <c r="B389" s="3" t="n">
        <v>48</v>
      </c>
      <c r="C389" s="3" t="s">
        <v>17</v>
      </c>
      <c r="D389" s="3" t="s">
        <v>23</v>
      </c>
      <c r="E389" s="3" t="n">
        <v>98706</v>
      </c>
      <c r="F389" s="3" t="n">
        <v>10</v>
      </c>
      <c r="G389" s="3" t="n">
        <v>5</v>
      </c>
      <c r="H389" s="3" t="n">
        <v>6</v>
      </c>
      <c r="I389" s="3" t="s">
        <v>15</v>
      </c>
      <c r="J389" s="3" t="s">
        <v>16</v>
      </c>
      <c r="K389" s="3" t="n">
        <v>100</v>
      </c>
    </row>
    <row r="390" customFormat="false" ht="15" hidden="false" customHeight="false" outlineLevel="0" collapsed="false">
      <c r="A390" s="2" t="n">
        <v>389</v>
      </c>
      <c r="B390" s="2" t="n">
        <v>52</v>
      </c>
      <c r="C390" s="2" t="s">
        <v>17</v>
      </c>
      <c r="D390" s="2" t="s">
        <v>18</v>
      </c>
      <c r="E390" s="2" t="n">
        <v>84715</v>
      </c>
      <c r="F390" s="2" t="n">
        <v>4</v>
      </c>
      <c r="G390" s="2" t="n">
        <v>5</v>
      </c>
      <c r="H390" s="2" t="n">
        <v>2</v>
      </c>
      <c r="I390" s="2" t="s">
        <v>13</v>
      </c>
      <c r="J390" s="2" t="s">
        <v>19</v>
      </c>
      <c r="K390" s="2" t="n">
        <v>84.72</v>
      </c>
    </row>
    <row r="391" customFormat="false" ht="15" hidden="false" customHeight="false" outlineLevel="0" collapsed="false">
      <c r="A391" s="3" t="n">
        <v>390</v>
      </c>
      <c r="B391" s="3" t="n">
        <v>50</v>
      </c>
      <c r="C391" s="3" t="s">
        <v>11</v>
      </c>
      <c r="D391" s="3" t="s">
        <v>23</v>
      </c>
      <c r="E391" s="3" t="n">
        <v>111503</v>
      </c>
      <c r="F391" s="3" t="n">
        <v>6</v>
      </c>
      <c r="G391" s="3" t="n">
        <v>5</v>
      </c>
      <c r="H391" s="3" t="n">
        <v>7</v>
      </c>
      <c r="I391" s="3" t="s">
        <v>13</v>
      </c>
      <c r="J391" s="3" t="s">
        <v>14</v>
      </c>
      <c r="K391" s="3" t="n">
        <v>100</v>
      </c>
    </row>
    <row r="392" customFormat="false" ht="15" hidden="false" customHeight="false" outlineLevel="0" collapsed="false">
      <c r="A392" s="2" t="n">
        <v>391</v>
      </c>
      <c r="B392" s="2" t="n">
        <v>69</v>
      </c>
      <c r="C392" s="2" t="s">
        <v>17</v>
      </c>
      <c r="D392" s="2" t="s">
        <v>20</v>
      </c>
      <c r="E392" s="2" t="n">
        <v>67129</v>
      </c>
      <c r="F392" s="2" t="n">
        <v>9</v>
      </c>
      <c r="G392" s="2" t="n">
        <v>2</v>
      </c>
      <c r="H392" s="2" t="n">
        <v>19</v>
      </c>
      <c r="I392" s="2" t="s">
        <v>15</v>
      </c>
      <c r="J392" s="2" t="s">
        <v>19</v>
      </c>
      <c r="K392" s="2" t="n">
        <v>100</v>
      </c>
    </row>
    <row r="393" customFormat="false" ht="15" hidden="false" customHeight="false" outlineLevel="0" collapsed="false">
      <c r="A393" s="3" t="n">
        <v>392</v>
      </c>
      <c r="B393" s="3" t="n">
        <v>38</v>
      </c>
      <c r="C393" s="3" t="s">
        <v>11</v>
      </c>
      <c r="D393" s="3" t="s">
        <v>18</v>
      </c>
      <c r="E393" s="3" t="n">
        <v>87565</v>
      </c>
      <c r="F393" s="3" t="n">
        <v>9</v>
      </c>
      <c r="G393" s="3" t="n">
        <v>10</v>
      </c>
      <c r="H393" s="3" t="n">
        <v>12</v>
      </c>
      <c r="I393" s="3" t="s">
        <v>21</v>
      </c>
      <c r="J393" s="3" t="s">
        <v>19</v>
      </c>
      <c r="K393" s="3" t="n">
        <v>100</v>
      </c>
    </row>
    <row r="394" customFormat="false" ht="15" hidden="false" customHeight="false" outlineLevel="0" collapsed="false">
      <c r="A394" s="2" t="n">
        <v>393</v>
      </c>
      <c r="B394" s="2" t="n">
        <v>49</v>
      </c>
      <c r="C394" s="2" t="s">
        <v>11</v>
      </c>
      <c r="D394" s="2" t="s">
        <v>18</v>
      </c>
      <c r="E394" s="2" t="n">
        <v>52664</v>
      </c>
      <c r="F394" s="2" t="n">
        <v>9</v>
      </c>
      <c r="G394" s="2" t="n">
        <v>5</v>
      </c>
      <c r="H394" s="2" t="n">
        <v>7</v>
      </c>
      <c r="I394" s="2" t="s">
        <v>15</v>
      </c>
      <c r="J394" s="2" t="s">
        <v>16</v>
      </c>
      <c r="K394" s="2" t="n">
        <v>99.65</v>
      </c>
    </row>
    <row r="395" customFormat="false" ht="15" hidden="false" customHeight="false" outlineLevel="0" collapsed="false">
      <c r="A395" s="3" t="n">
        <v>394</v>
      </c>
      <c r="B395" s="3" t="n">
        <v>40</v>
      </c>
      <c r="C395" s="3" t="s">
        <v>17</v>
      </c>
      <c r="D395" s="3" t="s">
        <v>18</v>
      </c>
      <c r="E395" s="3" t="n">
        <v>91333</v>
      </c>
      <c r="F395" s="3" t="n">
        <v>4</v>
      </c>
      <c r="G395" s="3" t="n">
        <v>3</v>
      </c>
      <c r="H395" s="3" t="n">
        <v>19</v>
      </c>
      <c r="I395" s="3" t="s">
        <v>15</v>
      </c>
      <c r="J395" s="3" t="s">
        <v>19</v>
      </c>
      <c r="K395" s="3" t="n">
        <v>100</v>
      </c>
    </row>
    <row r="396" customFormat="false" ht="15" hidden="false" customHeight="false" outlineLevel="0" collapsed="false">
      <c r="A396" s="2" t="n">
        <v>395</v>
      </c>
      <c r="B396" s="2" t="n">
        <v>50</v>
      </c>
      <c r="C396" s="2" t="s">
        <v>17</v>
      </c>
      <c r="D396" s="2" t="s">
        <v>23</v>
      </c>
      <c r="E396" s="2" t="n">
        <v>75204</v>
      </c>
      <c r="F396" s="2" t="n">
        <v>7</v>
      </c>
      <c r="G396" s="2" t="n">
        <v>9</v>
      </c>
      <c r="H396" s="2" t="n">
        <v>11</v>
      </c>
      <c r="I396" s="2" t="s">
        <v>15</v>
      </c>
      <c r="J396" s="2" t="s">
        <v>14</v>
      </c>
      <c r="K396" s="2" t="n">
        <v>100</v>
      </c>
    </row>
    <row r="397" customFormat="false" ht="15" hidden="false" customHeight="false" outlineLevel="0" collapsed="false">
      <c r="A397" s="3" t="n">
        <v>396</v>
      </c>
      <c r="B397" s="3" t="n">
        <v>20</v>
      </c>
      <c r="C397" s="3" t="s">
        <v>11</v>
      </c>
      <c r="D397" s="3" t="s">
        <v>12</v>
      </c>
      <c r="E397" s="3" t="n">
        <v>30126</v>
      </c>
      <c r="F397" s="3" t="n">
        <v>6</v>
      </c>
      <c r="G397" s="3" t="n">
        <v>10</v>
      </c>
      <c r="H397" s="3" t="n">
        <v>5</v>
      </c>
      <c r="I397" s="3" t="s">
        <v>13</v>
      </c>
      <c r="J397" s="3" t="s">
        <v>16</v>
      </c>
      <c r="K397" s="3" t="n">
        <v>96.5</v>
      </c>
    </row>
    <row r="398" customFormat="false" ht="15" hidden="false" customHeight="false" outlineLevel="0" collapsed="false">
      <c r="A398" s="2" t="n">
        <v>397</v>
      </c>
      <c r="B398" s="2" t="n">
        <v>35</v>
      </c>
      <c r="C398" s="2" t="s">
        <v>17</v>
      </c>
      <c r="D398" s="2" t="s">
        <v>22</v>
      </c>
      <c r="E398" s="2" t="n">
        <v>72223</v>
      </c>
      <c r="F398" s="2" t="n">
        <v>4</v>
      </c>
      <c r="G398" s="2" t="n">
        <v>10</v>
      </c>
      <c r="H398" s="2" t="n">
        <v>20</v>
      </c>
      <c r="I398" s="2" t="s">
        <v>15</v>
      </c>
      <c r="J398" s="2" t="s">
        <v>19</v>
      </c>
      <c r="K398" s="2" t="n">
        <v>100</v>
      </c>
    </row>
    <row r="399" customFormat="false" ht="15" hidden="false" customHeight="false" outlineLevel="0" collapsed="false">
      <c r="A399" s="3" t="n">
        <v>398</v>
      </c>
      <c r="B399" s="3" t="n">
        <v>42</v>
      </c>
      <c r="C399" s="3" t="s">
        <v>11</v>
      </c>
      <c r="D399" s="3" t="s">
        <v>18</v>
      </c>
      <c r="E399" s="3" t="n">
        <v>73286</v>
      </c>
      <c r="F399" s="3" t="n">
        <v>10</v>
      </c>
      <c r="G399" s="3" t="n">
        <v>6</v>
      </c>
      <c r="H399" s="3" t="n">
        <v>16</v>
      </c>
      <c r="I399" s="3" t="s">
        <v>13</v>
      </c>
      <c r="J399" s="3" t="s">
        <v>14</v>
      </c>
      <c r="K399" s="3" t="n">
        <v>100</v>
      </c>
    </row>
    <row r="400" customFormat="false" ht="15" hidden="false" customHeight="false" outlineLevel="0" collapsed="false">
      <c r="A400" s="2" t="n">
        <v>399</v>
      </c>
      <c r="B400" s="2" t="n">
        <v>59</v>
      </c>
      <c r="C400" s="2" t="s">
        <v>11</v>
      </c>
      <c r="D400" s="2" t="s">
        <v>22</v>
      </c>
      <c r="E400" s="2" t="n">
        <v>69996</v>
      </c>
      <c r="F400" s="2" t="n">
        <v>8</v>
      </c>
      <c r="G400" s="2" t="n">
        <v>1</v>
      </c>
      <c r="H400" s="2" t="n">
        <v>9</v>
      </c>
      <c r="I400" s="2" t="s">
        <v>13</v>
      </c>
      <c r="J400" s="2" t="s">
        <v>14</v>
      </c>
      <c r="K400" s="2" t="n">
        <v>85</v>
      </c>
    </row>
    <row r="401" customFormat="false" ht="15" hidden="false" customHeight="false" outlineLevel="0" collapsed="false">
      <c r="A401" s="3" t="n">
        <v>400</v>
      </c>
      <c r="B401" s="3" t="n">
        <v>48</v>
      </c>
      <c r="C401" s="3" t="s">
        <v>17</v>
      </c>
      <c r="D401" s="3" t="s">
        <v>22</v>
      </c>
      <c r="E401" s="3" t="n">
        <v>56206</v>
      </c>
      <c r="F401" s="3" t="n">
        <v>7</v>
      </c>
      <c r="G401" s="3" t="n">
        <v>9</v>
      </c>
      <c r="H401" s="3" t="n">
        <v>7</v>
      </c>
      <c r="I401" s="3" t="s">
        <v>21</v>
      </c>
      <c r="J401" s="3" t="s">
        <v>16</v>
      </c>
      <c r="K401" s="3" t="n">
        <v>100</v>
      </c>
    </row>
    <row r="402" customFormat="false" ht="15" hidden="false" customHeight="false" outlineLevel="0" collapsed="false">
      <c r="A402" s="2" t="n">
        <v>401</v>
      </c>
      <c r="B402" s="2" t="n">
        <v>20</v>
      </c>
      <c r="C402" s="2" t="s">
        <v>11</v>
      </c>
      <c r="D402" s="2" t="s">
        <v>22</v>
      </c>
      <c r="E402" s="2" t="n">
        <v>47808</v>
      </c>
      <c r="F402" s="2" t="n">
        <v>9</v>
      </c>
      <c r="G402" s="2" t="n">
        <v>8</v>
      </c>
      <c r="H402" s="2" t="n">
        <v>18</v>
      </c>
      <c r="I402" s="2" t="s">
        <v>21</v>
      </c>
      <c r="J402" s="2" t="s">
        <v>16</v>
      </c>
      <c r="K402" s="2" t="n">
        <v>99.38</v>
      </c>
    </row>
    <row r="403" customFormat="false" ht="15" hidden="false" customHeight="false" outlineLevel="0" collapsed="false">
      <c r="A403" s="3" t="n">
        <v>402</v>
      </c>
      <c r="B403" s="3" t="n">
        <v>57</v>
      </c>
      <c r="C403" s="3" t="s">
        <v>17</v>
      </c>
      <c r="D403" s="3" t="s">
        <v>23</v>
      </c>
      <c r="E403" s="3" t="n">
        <v>118502</v>
      </c>
      <c r="F403" s="3" t="n">
        <v>9</v>
      </c>
      <c r="G403" s="3" t="n">
        <v>10</v>
      </c>
      <c r="H403" s="3" t="n">
        <v>8</v>
      </c>
      <c r="I403" s="3" t="s">
        <v>15</v>
      </c>
      <c r="J403" s="3" t="s">
        <v>16</v>
      </c>
      <c r="K403" s="3" t="n">
        <v>100</v>
      </c>
    </row>
    <row r="404" customFormat="false" ht="15" hidden="false" customHeight="false" outlineLevel="0" collapsed="false">
      <c r="A404" s="2" t="n">
        <v>403</v>
      </c>
      <c r="B404" s="2" t="n">
        <v>63</v>
      </c>
      <c r="C404" s="2" t="s">
        <v>17</v>
      </c>
      <c r="D404" s="2" t="s">
        <v>22</v>
      </c>
      <c r="E404" s="2" t="n">
        <v>90692</v>
      </c>
      <c r="F404" s="2" t="n">
        <v>6</v>
      </c>
      <c r="G404" s="2" t="n">
        <v>9</v>
      </c>
      <c r="H404" s="2" t="n">
        <v>16</v>
      </c>
      <c r="I404" s="2" t="s">
        <v>15</v>
      </c>
      <c r="J404" s="2" t="s">
        <v>14</v>
      </c>
      <c r="K404" s="2" t="n">
        <v>100</v>
      </c>
    </row>
    <row r="405" customFormat="false" ht="15" hidden="false" customHeight="false" outlineLevel="0" collapsed="false">
      <c r="A405" s="3" t="n">
        <v>404</v>
      </c>
      <c r="B405" s="3" t="n">
        <v>41</v>
      </c>
      <c r="C405" s="3" t="s">
        <v>17</v>
      </c>
      <c r="D405" s="3" t="s">
        <v>20</v>
      </c>
      <c r="E405" s="3" t="n">
        <v>78808</v>
      </c>
      <c r="F405" s="3" t="n">
        <v>6</v>
      </c>
      <c r="G405" s="3" t="n">
        <v>6</v>
      </c>
      <c r="H405" s="3" t="n">
        <v>5</v>
      </c>
      <c r="I405" s="3" t="s">
        <v>15</v>
      </c>
      <c r="J405" s="3" t="s">
        <v>19</v>
      </c>
      <c r="K405" s="3" t="n">
        <v>96.44</v>
      </c>
    </row>
    <row r="406" customFormat="false" ht="15" hidden="false" customHeight="false" outlineLevel="0" collapsed="false">
      <c r="A406" s="2" t="n">
        <v>405</v>
      </c>
      <c r="B406" s="2" t="n">
        <v>67</v>
      </c>
      <c r="C406" s="2" t="s">
        <v>11</v>
      </c>
      <c r="D406" s="2" t="s">
        <v>23</v>
      </c>
      <c r="E406" s="2" t="n">
        <v>67006</v>
      </c>
      <c r="F406" s="2" t="n">
        <v>9</v>
      </c>
      <c r="G406" s="2" t="n">
        <v>2</v>
      </c>
      <c r="H406" s="2" t="n">
        <v>6</v>
      </c>
      <c r="I406" s="2" t="s">
        <v>21</v>
      </c>
      <c r="J406" s="2" t="s">
        <v>16</v>
      </c>
      <c r="K406" s="2" t="n">
        <v>91.97</v>
      </c>
    </row>
    <row r="407" customFormat="false" ht="15" hidden="false" customHeight="false" outlineLevel="0" collapsed="false">
      <c r="A407" s="3" t="n">
        <v>406</v>
      </c>
      <c r="B407" s="3" t="n">
        <v>49</v>
      </c>
      <c r="C407" s="3" t="s">
        <v>11</v>
      </c>
      <c r="D407" s="3" t="s">
        <v>23</v>
      </c>
      <c r="E407" s="3" t="n">
        <v>46698</v>
      </c>
      <c r="F407" s="3" t="n">
        <v>8</v>
      </c>
      <c r="G407" s="3" t="n">
        <v>3</v>
      </c>
      <c r="H407" s="3" t="n">
        <v>8</v>
      </c>
      <c r="I407" s="3" t="s">
        <v>15</v>
      </c>
      <c r="J407" s="3" t="s">
        <v>19</v>
      </c>
      <c r="K407" s="3" t="n">
        <v>77.66</v>
      </c>
    </row>
    <row r="408" customFormat="false" ht="15" hidden="false" customHeight="false" outlineLevel="0" collapsed="false">
      <c r="A408" s="2" t="n">
        <v>407</v>
      </c>
      <c r="B408" s="2" t="n">
        <v>64</v>
      </c>
      <c r="C408" s="2" t="s">
        <v>11</v>
      </c>
      <c r="D408" s="2" t="s">
        <v>20</v>
      </c>
      <c r="E408" s="2" t="n">
        <v>90302</v>
      </c>
      <c r="F408" s="2" t="n">
        <v>8</v>
      </c>
      <c r="G408" s="2" t="n">
        <v>10</v>
      </c>
      <c r="H408" s="2" t="n">
        <v>14</v>
      </c>
      <c r="I408" s="2" t="s">
        <v>21</v>
      </c>
      <c r="J408" s="2" t="s">
        <v>14</v>
      </c>
      <c r="K408" s="2" t="n">
        <v>100</v>
      </c>
    </row>
    <row r="409" customFormat="false" ht="15" hidden="false" customHeight="false" outlineLevel="0" collapsed="false">
      <c r="A409" s="3" t="n">
        <v>408</v>
      </c>
      <c r="B409" s="3" t="n">
        <v>39</v>
      </c>
      <c r="C409" s="3" t="s">
        <v>17</v>
      </c>
      <c r="D409" s="3" t="s">
        <v>12</v>
      </c>
      <c r="E409" s="3" t="n">
        <v>44364</v>
      </c>
      <c r="F409" s="3" t="n">
        <v>6</v>
      </c>
      <c r="G409" s="3" t="n">
        <v>8</v>
      </c>
      <c r="H409" s="3" t="n">
        <v>9</v>
      </c>
      <c r="I409" s="3" t="s">
        <v>21</v>
      </c>
      <c r="J409" s="3" t="s">
        <v>16</v>
      </c>
      <c r="K409" s="3" t="n">
        <v>94.35</v>
      </c>
    </row>
    <row r="410" customFormat="false" ht="15" hidden="false" customHeight="false" outlineLevel="0" collapsed="false">
      <c r="A410" s="2" t="n">
        <v>409</v>
      </c>
      <c r="B410" s="2" t="n">
        <v>40</v>
      </c>
      <c r="C410" s="2" t="s">
        <v>11</v>
      </c>
      <c r="D410" s="2" t="s">
        <v>12</v>
      </c>
      <c r="E410" s="2" t="n">
        <v>95034</v>
      </c>
      <c r="F410" s="2" t="n">
        <v>3</v>
      </c>
      <c r="G410" s="2" t="n">
        <v>9</v>
      </c>
      <c r="H410" s="2" t="n">
        <v>3</v>
      </c>
      <c r="I410" s="2" t="s">
        <v>13</v>
      </c>
      <c r="J410" s="2" t="s">
        <v>16</v>
      </c>
      <c r="K410" s="2" t="n">
        <v>100</v>
      </c>
    </row>
    <row r="411" customFormat="false" ht="15" hidden="false" customHeight="false" outlineLevel="0" collapsed="false">
      <c r="A411" s="3" t="n">
        <v>410</v>
      </c>
      <c r="B411" s="3" t="n">
        <v>19</v>
      </c>
      <c r="C411" s="3" t="s">
        <v>17</v>
      </c>
      <c r="D411" s="3" t="s">
        <v>18</v>
      </c>
      <c r="E411" s="3" t="n">
        <v>53513</v>
      </c>
      <c r="F411" s="3" t="n">
        <v>2</v>
      </c>
      <c r="G411" s="3" t="n">
        <v>9</v>
      </c>
      <c r="H411" s="3" t="n">
        <v>5</v>
      </c>
      <c r="I411" s="3" t="s">
        <v>21</v>
      </c>
      <c r="J411" s="3" t="s">
        <v>14</v>
      </c>
      <c r="K411" s="3" t="n">
        <v>81.18</v>
      </c>
    </row>
    <row r="412" customFormat="false" ht="15" hidden="false" customHeight="false" outlineLevel="0" collapsed="false">
      <c r="A412" s="2" t="n">
        <v>411</v>
      </c>
      <c r="B412" s="2" t="n">
        <v>44</v>
      </c>
      <c r="C412" s="2" t="s">
        <v>17</v>
      </c>
      <c r="D412" s="2" t="s">
        <v>12</v>
      </c>
      <c r="E412" s="2" t="n">
        <v>45057</v>
      </c>
      <c r="F412" s="2" t="n">
        <v>10</v>
      </c>
      <c r="G412" s="2" t="n">
        <v>1</v>
      </c>
      <c r="H412" s="2" t="n">
        <v>18</v>
      </c>
      <c r="I412" s="2" t="s">
        <v>21</v>
      </c>
      <c r="J412" s="2" t="s">
        <v>14</v>
      </c>
      <c r="K412" s="2" t="n">
        <v>83.5</v>
      </c>
    </row>
    <row r="413" customFormat="false" ht="15" hidden="false" customHeight="false" outlineLevel="0" collapsed="false">
      <c r="A413" s="3" t="n">
        <v>412</v>
      </c>
      <c r="B413" s="3" t="n">
        <v>59</v>
      </c>
      <c r="C413" s="3" t="s">
        <v>11</v>
      </c>
      <c r="D413" s="3" t="s">
        <v>18</v>
      </c>
      <c r="E413" s="3" t="n">
        <v>93959</v>
      </c>
      <c r="F413" s="3" t="n">
        <v>4</v>
      </c>
      <c r="G413" s="3" t="n">
        <v>9</v>
      </c>
      <c r="H413" s="3" t="n">
        <v>4</v>
      </c>
      <c r="I413" s="3" t="s">
        <v>15</v>
      </c>
      <c r="J413" s="3" t="s">
        <v>14</v>
      </c>
      <c r="K413" s="3" t="n">
        <v>96.83</v>
      </c>
    </row>
    <row r="414" customFormat="false" ht="15" hidden="false" customHeight="false" outlineLevel="0" collapsed="false">
      <c r="A414" s="2" t="n">
        <v>413</v>
      </c>
      <c r="B414" s="2" t="n">
        <v>19</v>
      </c>
      <c r="C414" s="2" t="s">
        <v>17</v>
      </c>
      <c r="D414" s="2" t="s">
        <v>22</v>
      </c>
      <c r="E414" s="2" t="n">
        <v>106401</v>
      </c>
      <c r="F414" s="2" t="n">
        <v>5</v>
      </c>
      <c r="G414" s="2" t="n">
        <v>9</v>
      </c>
      <c r="H414" s="2" t="n">
        <v>20</v>
      </c>
      <c r="I414" s="2" t="s">
        <v>13</v>
      </c>
      <c r="J414" s="2" t="s">
        <v>16</v>
      </c>
      <c r="K414" s="2" t="n">
        <v>100</v>
      </c>
    </row>
    <row r="415" customFormat="false" ht="15" hidden="false" customHeight="false" outlineLevel="0" collapsed="false">
      <c r="A415" s="3" t="n">
        <v>414</v>
      </c>
      <c r="B415" s="3" t="n">
        <v>43</v>
      </c>
      <c r="C415" s="3" t="s">
        <v>11</v>
      </c>
      <c r="D415" s="3" t="s">
        <v>18</v>
      </c>
      <c r="E415" s="3" t="n">
        <v>102247</v>
      </c>
      <c r="F415" s="3" t="n">
        <v>2</v>
      </c>
      <c r="G415" s="3" t="n">
        <v>2</v>
      </c>
      <c r="H415" s="3" t="n">
        <v>17</v>
      </c>
      <c r="I415" s="3" t="s">
        <v>13</v>
      </c>
      <c r="J415" s="3" t="s">
        <v>16</v>
      </c>
      <c r="K415" s="3" t="n">
        <v>81.58</v>
      </c>
    </row>
    <row r="416" customFormat="false" ht="15" hidden="false" customHeight="false" outlineLevel="0" collapsed="false">
      <c r="A416" s="2" t="n">
        <v>415</v>
      </c>
      <c r="B416" s="2" t="n">
        <v>34</v>
      </c>
      <c r="C416" s="2" t="s">
        <v>17</v>
      </c>
      <c r="D416" s="2" t="s">
        <v>12</v>
      </c>
      <c r="E416" s="2" t="n">
        <v>52708</v>
      </c>
      <c r="F416" s="2" t="n">
        <v>9</v>
      </c>
      <c r="G416" s="2" t="n">
        <v>1</v>
      </c>
      <c r="H416" s="2" t="n">
        <v>20</v>
      </c>
      <c r="I416" s="2" t="s">
        <v>13</v>
      </c>
      <c r="J416" s="2" t="s">
        <v>19</v>
      </c>
      <c r="K416" s="2" t="n">
        <v>76.71</v>
      </c>
    </row>
    <row r="417" customFormat="false" ht="15" hidden="false" customHeight="false" outlineLevel="0" collapsed="false">
      <c r="A417" s="3" t="n">
        <v>416</v>
      </c>
      <c r="B417" s="3" t="n">
        <v>57</v>
      </c>
      <c r="C417" s="3" t="s">
        <v>11</v>
      </c>
      <c r="D417" s="3" t="s">
        <v>18</v>
      </c>
      <c r="E417" s="3" t="n">
        <v>37692</v>
      </c>
      <c r="F417" s="3" t="n">
        <v>6</v>
      </c>
      <c r="G417" s="3" t="n">
        <v>1</v>
      </c>
      <c r="H417" s="3" t="n">
        <v>14</v>
      </c>
      <c r="I417" s="3" t="s">
        <v>15</v>
      </c>
      <c r="J417" s="3" t="s">
        <v>16</v>
      </c>
      <c r="K417" s="3" t="n">
        <v>84.26</v>
      </c>
    </row>
    <row r="418" customFormat="false" ht="15" hidden="false" customHeight="false" outlineLevel="0" collapsed="false">
      <c r="A418" s="2" t="n">
        <v>417</v>
      </c>
      <c r="B418" s="2" t="n">
        <v>50</v>
      </c>
      <c r="C418" s="2" t="s">
        <v>17</v>
      </c>
      <c r="D418" s="2" t="s">
        <v>23</v>
      </c>
      <c r="E418" s="2" t="n">
        <v>73845</v>
      </c>
      <c r="F418" s="2" t="n">
        <v>1</v>
      </c>
      <c r="G418" s="2" t="n">
        <v>3</v>
      </c>
      <c r="H418" s="2" t="n">
        <v>3</v>
      </c>
      <c r="I418" s="2" t="s">
        <v>15</v>
      </c>
      <c r="J418" s="2" t="s">
        <v>14</v>
      </c>
      <c r="K418" s="2" t="n">
        <v>50.98</v>
      </c>
    </row>
    <row r="419" customFormat="false" ht="15" hidden="false" customHeight="false" outlineLevel="0" collapsed="false">
      <c r="A419" s="3" t="n">
        <v>418</v>
      </c>
      <c r="B419" s="3" t="n">
        <v>26</v>
      </c>
      <c r="C419" s="3" t="s">
        <v>17</v>
      </c>
      <c r="D419" s="3" t="s">
        <v>12</v>
      </c>
      <c r="E419" s="3" t="n">
        <v>65594</v>
      </c>
      <c r="F419" s="3" t="n">
        <v>3</v>
      </c>
      <c r="G419" s="3" t="n">
        <v>1</v>
      </c>
      <c r="H419" s="3" t="n">
        <v>8</v>
      </c>
      <c r="I419" s="3" t="s">
        <v>15</v>
      </c>
      <c r="J419" s="3" t="s">
        <v>16</v>
      </c>
      <c r="K419" s="3" t="n">
        <v>48.4</v>
      </c>
    </row>
    <row r="420" customFormat="false" ht="15" hidden="false" customHeight="false" outlineLevel="0" collapsed="false">
      <c r="A420" s="2" t="n">
        <v>419</v>
      </c>
      <c r="B420" s="2" t="n">
        <v>60</v>
      </c>
      <c r="C420" s="2" t="s">
        <v>11</v>
      </c>
      <c r="D420" s="2" t="s">
        <v>18</v>
      </c>
      <c r="E420" s="2" t="n">
        <v>49831</v>
      </c>
      <c r="F420" s="2" t="n">
        <v>1</v>
      </c>
      <c r="G420" s="2" t="n">
        <v>4</v>
      </c>
      <c r="H420" s="2" t="n">
        <v>5</v>
      </c>
      <c r="I420" s="2" t="s">
        <v>21</v>
      </c>
      <c r="J420" s="2" t="s">
        <v>19</v>
      </c>
      <c r="K420" s="2" t="n">
        <v>50.74</v>
      </c>
    </row>
    <row r="421" customFormat="false" ht="15" hidden="false" customHeight="false" outlineLevel="0" collapsed="false">
      <c r="A421" s="3" t="n">
        <v>420</v>
      </c>
      <c r="B421" s="3" t="n">
        <v>65</v>
      </c>
      <c r="C421" s="3" t="s">
        <v>11</v>
      </c>
      <c r="D421" s="3" t="s">
        <v>12</v>
      </c>
      <c r="E421" s="3" t="n">
        <v>102086</v>
      </c>
      <c r="F421" s="3" t="n">
        <v>4</v>
      </c>
      <c r="G421" s="3" t="n">
        <v>10</v>
      </c>
      <c r="H421" s="3" t="n">
        <v>4</v>
      </c>
      <c r="I421" s="3" t="s">
        <v>21</v>
      </c>
      <c r="J421" s="3" t="s">
        <v>16</v>
      </c>
      <c r="K421" s="3" t="n">
        <v>100</v>
      </c>
    </row>
    <row r="422" customFormat="false" ht="15" hidden="false" customHeight="false" outlineLevel="0" collapsed="false">
      <c r="A422" s="2" t="n">
        <v>421</v>
      </c>
      <c r="B422" s="2" t="n">
        <v>56</v>
      </c>
      <c r="C422" s="2" t="s">
        <v>11</v>
      </c>
      <c r="D422" s="2" t="s">
        <v>20</v>
      </c>
      <c r="E422" s="2" t="n">
        <v>73504</v>
      </c>
      <c r="F422" s="2" t="n">
        <v>9</v>
      </c>
      <c r="G422" s="2" t="n">
        <v>4</v>
      </c>
      <c r="H422" s="2" t="n">
        <v>4</v>
      </c>
      <c r="I422" s="2" t="s">
        <v>13</v>
      </c>
      <c r="J422" s="2" t="s">
        <v>14</v>
      </c>
      <c r="K422" s="2" t="n">
        <v>80.66</v>
      </c>
    </row>
    <row r="423" customFormat="false" ht="15" hidden="false" customHeight="false" outlineLevel="0" collapsed="false">
      <c r="A423" s="3" t="n">
        <v>422</v>
      </c>
      <c r="B423" s="3" t="n">
        <v>46</v>
      </c>
      <c r="C423" s="3" t="s">
        <v>11</v>
      </c>
      <c r="D423" s="3" t="s">
        <v>12</v>
      </c>
      <c r="E423" s="3" t="n">
        <v>37223</v>
      </c>
      <c r="F423" s="3" t="n">
        <v>4</v>
      </c>
      <c r="G423" s="3" t="n">
        <v>8</v>
      </c>
      <c r="H423" s="3" t="n">
        <v>1</v>
      </c>
      <c r="I423" s="3" t="s">
        <v>13</v>
      </c>
      <c r="J423" s="3" t="s">
        <v>14</v>
      </c>
      <c r="K423" s="3" t="n">
        <v>82.57</v>
      </c>
    </row>
    <row r="424" customFormat="false" ht="15" hidden="false" customHeight="false" outlineLevel="0" collapsed="false">
      <c r="A424" s="2" t="n">
        <v>423</v>
      </c>
      <c r="B424" s="2" t="n">
        <v>59</v>
      </c>
      <c r="C424" s="2" t="s">
        <v>11</v>
      </c>
      <c r="D424" s="2" t="s">
        <v>20</v>
      </c>
      <c r="E424" s="2" t="n">
        <v>33336</v>
      </c>
      <c r="F424" s="2" t="n">
        <v>7</v>
      </c>
      <c r="G424" s="2" t="n">
        <v>6</v>
      </c>
      <c r="H424" s="2" t="n">
        <v>19</v>
      </c>
      <c r="I424" s="2" t="s">
        <v>15</v>
      </c>
      <c r="J424" s="2" t="s">
        <v>19</v>
      </c>
      <c r="K424" s="2" t="n">
        <v>87.78</v>
      </c>
    </row>
    <row r="425" customFormat="false" ht="15" hidden="false" customHeight="false" outlineLevel="0" collapsed="false">
      <c r="A425" s="3" t="n">
        <v>424</v>
      </c>
      <c r="B425" s="3" t="n">
        <v>43</v>
      </c>
      <c r="C425" s="3" t="s">
        <v>17</v>
      </c>
      <c r="D425" s="3" t="s">
        <v>18</v>
      </c>
      <c r="E425" s="3" t="n">
        <v>108970</v>
      </c>
      <c r="F425" s="3" t="n">
        <v>8</v>
      </c>
      <c r="G425" s="3" t="n">
        <v>2</v>
      </c>
      <c r="H425" s="3" t="n">
        <v>7</v>
      </c>
      <c r="I425" s="3" t="s">
        <v>15</v>
      </c>
      <c r="J425" s="3" t="s">
        <v>19</v>
      </c>
      <c r="K425" s="3" t="n">
        <v>81.66</v>
      </c>
    </row>
    <row r="426" customFormat="false" ht="15" hidden="false" customHeight="false" outlineLevel="0" collapsed="false">
      <c r="A426" s="2" t="n">
        <v>425</v>
      </c>
      <c r="B426" s="2" t="n">
        <v>52</v>
      </c>
      <c r="C426" s="2" t="s">
        <v>17</v>
      </c>
      <c r="D426" s="2" t="s">
        <v>20</v>
      </c>
      <c r="E426" s="2" t="n">
        <v>51842</v>
      </c>
      <c r="F426" s="2" t="n">
        <v>10</v>
      </c>
      <c r="G426" s="2" t="n">
        <v>5</v>
      </c>
      <c r="H426" s="2" t="n">
        <v>17</v>
      </c>
      <c r="I426" s="2" t="s">
        <v>15</v>
      </c>
      <c r="J426" s="2" t="s">
        <v>19</v>
      </c>
      <c r="K426" s="2" t="n">
        <v>100</v>
      </c>
    </row>
    <row r="427" customFormat="false" ht="15" hidden="false" customHeight="false" outlineLevel="0" collapsed="false">
      <c r="A427" s="3" t="n">
        <v>426</v>
      </c>
      <c r="B427" s="3" t="n">
        <v>67</v>
      </c>
      <c r="C427" s="3" t="s">
        <v>11</v>
      </c>
      <c r="D427" s="3" t="s">
        <v>12</v>
      </c>
      <c r="E427" s="3" t="n">
        <v>49682</v>
      </c>
      <c r="F427" s="3" t="n">
        <v>8</v>
      </c>
      <c r="G427" s="3" t="n">
        <v>9</v>
      </c>
      <c r="H427" s="3" t="n">
        <v>7</v>
      </c>
      <c r="I427" s="3" t="s">
        <v>21</v>
      </c>
      <c r="J427" s="3" t="s">
        <v>16</v>
      </c>
      <c r="K427" s="3" t="n">
        <v>100</v>
      </c>
    </row>
    <row r="428" customFormat="false" ht="15" hidden="false" customHeight="false" outlineLevel="0" collapsed="false">
      <c r="A428" s="2" t="n">
        <v>427</v>
      </c>
      <c r="B428" s="2" t="n">
        <v>42</v>
      </c>
      <c r="C428" s="2" t="s">
        <v>11</v>
      </c>
      <c r="D428" s="2" t="s">
        <v>23</v>
      </c>
      <c r="E428" s="2" t="n">
        <v>66831</v>
      </c>
      <c r="F428" s="2" t="n">
        <v>9</v>
      </c>
      <c r="G428" s="2" t="n">
        <v>3</v>
      </c>
      <c r="H428" s="2" t="n">
        <v>12</v>
      </c>
      <c r="I428" s="2" t="s">
        <v>13</v>
      </c>
      <c r="J428" s="2" t="s">
        <v>16</v>
      </c>
      <c r="K428" s="2" t="n">
        <v>94.02</v>
      </c>
    </row>
    <row r="429" customFormat="false" ht="15" hidden="false" customHeight="false" outlineLevel="0" collapsed="false">
      <c r="A429" s="3" t="n">
        <v>428</v>
      </c>
      <c r="B429" s="3" t="n">
        <v>41</v>
      </c>
      <c r="C429" s="3" t="s">
        <v>17</v>
      </c>
      <c r="D429" s="3" t="s">
        <v>20</v>
      </c>
      <c r="E429" s="3" t="n">
        <v>40989</v>
      </c>
      <c r="F429" s="3" t="n">
        <v>1</v>
      </c>
      <c r="G429" s="3" t="n">
        <v>2</v>
      </c>
      <c r="H429" s="3" t="n">
        <v>17</v>
      </c>
      <c r="I429" s="3" t="s">
        <v>21</v>
      </c>
      <c r="J429" s="3" t="s">
        <v>19</v>
      </c>
      <c r="K429" s="3" t="n">
        <v>42.03</v>
      </c>
    </row>
    <row r="430" customFormat="false" ht="15" hidden="false" customHeight="false" outlineLevel="0" collapsed="false">
      <c r="A430" s="2" t="n">
        <v>429</v>
      </c>
      <c r="B430" s="2" t="n">
        <v>30</v>
      </c>
      <c r="C430" s="2" t="s">
        <v>17</v>
      </c>
      <c r="D430" s="2" t="s">
        <v>12</v>
      </c>
      <c r="E430" s="2" t="n">
        <v>70014</v>
      </c>
      <c r="F430" s="2" t="n">
        <v>7</v>
      </c>
      <c r="G430" s="2" t="n">
        <v>2</v>
      </c>
      <c r="H430" s="2" t="n">
        <v>3</v>
      </c>
      <c r="I430" s="2" t="s">
        <v>21</v>
      </c>
      <c r="J430" s="2" t="s">
        <v>16</v>
      </c>
      <c r="K430" s="2" t="n">
        <v>78.2</v>
      </c>
    </row>
    <row r="431" customFormat="false" ht="15" hidden="false" customHeight="false" outlineLevel="0" collapsed="false">
      <c r="A431" s="3" t="n">
        <v>430</v>
      </c>
      <c r="B431" s="3" t="n">
        <v>24</v>
      </c>
      <c r="C431" s="3" t="s">
        <v>11</v>
      </c>
      <c r="D431" s="3" t="s">
        <v>23</v>
      </c>
      <c r="E431" s="3" t="n">
        <v>50754</v>
      </c>
      <c r="F431" s="3" t="n">
        <v>5</v>
      </c>
      <c r="G431" s="3" t="n">
        <v>6</v>
      </c>
      <c r="H431" s="3" t="n">
        <v>17</v>
      </c>
      <c r="I431" s="3" t="s">
        <v>21</v>
      </c>
      <c r="J431" s="3" t="s">
        <v>19</v>
      </c>
      <c r="K431" s="3" t="n">
        <v>90.26</v>
      </c>
    </row>
    <row r="432" customFormat="false" ht="15" hidden="false" customHeight="false" outlineLevel="0" collapsed="false">
      <c r="A432" s="2" t="n">
        <v>431</v>
      </c>
      <c r="B432" s="2" t="n">
        <v>53</v>
      </c>
      <c r="C432" s="2" t="s">
        <v>11</v>
      </c>
      <c r="D432" s="2" t="s">
        <v>22</v>
      </c>
      <c r="E432" s="2" t="n">
        <v>99984</v>
      </c>
      <c r="F432" s="2" t="n">
        <v>9</v>
      </c>
      <c r="G432" s="2" t="n">
        <v>7</v>
      </c>
      <c r="H432" s="2" t="n">
        <v>1</v>
      </c>
      <c r="I432" s="2" t="s">
        <v>13</v>
      </c>
      <c r="J432" s="2" t="s">
        <v>16</v>
      </c>
      <c r="K432" s="2" t="n">
        <v>100</v>
      </c>
    </row>
    <row r="433" customFormat="false" ht="15" hidden="false" customHeight="false" outlineLevel="0" collapsed="false">
      <c r="A433" s="3" t="n">
        <v>432</v>
      </c>
      <c r="B433" s="3" t="n">
        <v>62</v>
      </c>
      <c r="C433" s="3" t="s">
        <v>11</v>
      </c>
      <c r="D433" s="3" t="s">
        <v>20</v>
      </c>
      <c r="E433" s="3" t="n">
        <v>106758</v>
      </c>
      <c r="F433" s="3" t="n">
        <v>5</v>
      </c>
      <c r="G433" s="3" t="n">
        <v>8</v>
      </c>
      <c r="H433" s="3" t="n">
        <v>2</v>
      </c>
      <c r="I433" s="3" t="s">
        <v>21</v>
      </c>
      <c r="J433" s="3" t="s">
        <v>16</v>
      </c>
      <c r="K433" s="3" t="n">
        <v>100</v>
      </c>
    </row>
    <row r="434" customFormat="false" ht="15" hidden="false" customHeight="false" outlineLevel="0" collapsed="false">
      <c r="A434" s="2" t="n">
        <v>433</v>
      </c>
      <c r="B434" s="2" t="n">
        <v>37</v>
      </c>
      <c r="C434" s="2" t="s">
        <v>17</v>
      </c>
      <c r="D434" s="2" t="s">
        <v>20</v>
      </c>
      <c r="E434" s="2" t="n">
        <v>47627</v>
      </c>
      <c r="F434" s="2" t="n">
        <v>2</v>
      </c>
      <c r="G434" s="2" t="n">
        <v>1</v>
      </c>
      <c r="H434" s="2" t="n">
        <v>8</v>
      </c>
      <c r="I434" s="2" t="s">
        <v>21</v>
      </c>
      <c r="J434" s="2" t="s">
        <v>19</v>
      </c>
      <c r="K434" s="2" t="n">
        <v>39.85</v>
      </c>
    </row>
    <row r="435" customFormat="false" ht="15" hidden="false" customHeight="false" outlineLevel="0" collapsed="false">
      <c r="A435" s="3" t="n">
        <v>434</v>
      </c>
      <c r="B435" s="3" t="n">
        <v>18</v>
      </c>
      <c r="C435" s="3" t="s">
        <v>17</v>
      </c>
      <c r="D435" s="3" t="s">
        <v>18</v>
      </c>
      <c r="E435" s="3" t="n">
        <v>82483</v>
      </c>
      <c r="F435" s="3" t="n">
        <v>5</v>
      </c>
      <c r="G435" s="3" t="n">
        <v>3</v>
      </c>
      <c r="H435" s="3" t="n">
        <v>11</v>
      </c>
      <c r="I435" s="3" t="s">
        <v>13</v>
      </c>
      <c r="J435" s="3" t="s">
        <v>16</v>
      </c>
      <c r="K435" s="3" t="n">
        <v>66.55</v>
      </c>
    </row>
    <row r="436" customFormat="false" ht="15" hidden="false" customHeight="false" outlineLevel="0" collapsed="false">
      <c r="A436" s="2" t="n">
        <v>435</v>
      </c>
      <c r="B436" s="2" t="n">
        <v>25</v>
      </c>
      <c r="C436" s="2" t="s">
        <v>17</v>
      </c>
      <c r="D436" s="2" t="s">
        <v>22</v>
      </c>
      <c r="E436" s="2" t="n">
        <v>82014</v>
      </c>
      <c r="F436" s="2" t="n">
        <v>9</v>
      </c>
      <c r="G436" s="2" t="n">
        <v>10</v>
      </c>
      <c r="H436" s="2" t="n">
        <v>8</v>
      </c>
      <c r="I436" s="2" t="s">
        <v>21</v>
      </c>
      <c r="J436" s="2" t="s">
        <v>16</v>
      </c>
      <c r="K436" s="2" t="n">
        <v>100</v>
      </c>
    </row>
    <row r="437" customFormat="false" ht="15" hidden="false" customHeight="false" outlineLevel="0" collapsed="false">
      <c r="A437" s="3" t="n">
        <v>436</v>
      </c>
      <c r="B437" s="3" t="n">
        <v>63</v>
      </c>
      <c r="C437" s="3" t="s">
        <v>17</v>
      </c>
      <c r="D437" s="3" t="s">
        <v>18</v>
      </c>
      <c r="E437" s="3" t="n">
        <v>118478</v>
      </c>
      <c r="F437" s="3" t="n">
        <v>1</v>
      </c>
      <c r="G437" s="3" t="n">
        <v>4</v>
      </c>
      <c r="H437" s="3" t="n">
        <v>10</v>
      </c>
      <c r="I437" s="3" t="s">
        <v>15</v>
      </c>
      <c r="J437" s="3" t="s">
        <v>16</v>
      </c>
      <c r="K437" s="3" t="n">
        <v>72.55</v>
      </c>
    </row>
    <row r="438" customFormat="false" ht="15" hidden="false" customHeight="false" outlineLevel="0" collapsed="false">
      <c r="A438" s="2" t="n">
        <v>437</v>
      </c>
      <c r="B438" s="2" t="n">
        <v>33</v>
      </c>
      <c r="C438" s="2" t="s">
        <v>11</v>
      </c>
      <c r="D438" s="2" t="s">
        <v>18</v>
      </c>
      <c r="E438" s="2" t="n">
        <v>104116</v>
      </c>
      <c r="F438" s="2" t="n">
        <v>7</v>
      </c>
      <c r="G438" s="2" t="n">
        <v>8</v>
      </c>
      <c r="H438" s="2" t="n">
        <v>1</v>
      </c>
      <c r="I438" s="2" t="s">
        <v>13</v>
      </c>
      <c r="J438" s="2" t="s">
        <v>19</v>
      </c>
      <c r="K438" s="2" t="n">
        <v>100</v>
      </c>
    </row>
    <row r="439" customFormat="false" ht="15" hidden="false" customHeight="false" outlineLevel="0" collapsed="false">
      <c r="A439" s="3" t="n">
        <v>438</v>
      </c>
      <c r="B439" s="3" t="n">
        <v>31</v>
      </c>
      <c r="C439" s="3" t="s">
        <v>11</v>
      </c>
      <c r="D439" s="3" t="s">
        <v>12</v>
      </c>
      <c r="E439" s="3" t="n">
        <v>35408</v>
      </c>
      <c r="F439" s="3" t="n">
        <v>3</v>
      </c>
      <c r="G439" s="3" t="n">
        <v>10</v>
      </c>
      <c r="H439" s="3" t="n">
        <v>5</v>
      </c>
      <c r="I439" s="3" t="s">
        <v>15</v>
      </c>
      <c r="J439" s="3" t="s">
        <v>19</v>
      </c>
      <c r="K439" s="3" t="n">
        <v>86.35</v>
      </c>
    </row>
    <row r="440" customFormat="false" ht="15" hidden="false" customHeight="false" outlineLevel="0" collapsed="false">
      <c r="A440" s="2" t="n">
        <v>439</v>
      </c>
      <c r="B440" s="2" t="n">
        <v>29</v>
      </c>
      <c r="C440" s="2" t="s">
        <v>11</v>
      </c>
      <c r="D440" s="2" t="s">
        <v>18</v>
      </c>
      <c r="E440" s="2" t="n">
        <v>82527</v>
      </c>
      <c r="F440" s="2" t="n">
        <v>10</v>
      </c>
      <c r="G440" s="2" t="n">
        <v>10</v>
      </c>
      <c r="H440" s="2" t="n">
        <v>6</v>
      </c>
      <c r="I440" s="2" t="s">
        <v>13</v>
      </c>
      <c r="J440" s="2" t="s">
        <v>19</v>
      </c>
      <c r="K440" s="2" t="n">
        <v>100</v>
      </c>
    </row>
    <row r="441" customFormat="false" ht="15" hidden="false" customHeight="false" outlineLevel="0" collapsed="false">
      <c r="A441" s="3" t="n">
        <v>440</v>
      </c>
      <c r="B441" s="3" t="n">
        <v>68</v>
      </c>
      <c r="C441" s="3" t="s">
        <v>17</v>
      </c>
      <c r="D441" s="3" t="s">
        <v>20</v>
      </c>
      <c r="E441" s="3" t="n">
        <v>109855</v>
      </c>
      <c r="F441" s="3" t="n">
        <v>4</v>
      </c>
      <c r="G441" s="3" t="n">
        <v>2</v>
      </c>
      <c r="H441" s="3" t="n">
        <v>20</v>
      </c>
      <c r="I441" s="3" t="s">
        <v>21</v>
      </c>
      <c r="J441" s="3" t="s">
        <v>19</v>
      </c>
      <c r="K441" s="3" t="n">
        <v>82.67</v>
      </c>
    </row>
    <row r="442" customFormat="false" ht="15" hidden="false" customHeight="false" outlineLevel="0" collapsed="false">
      <c r="A442" s="2" t="n">
        <v>441</v>
      </c>
      <c r="B442" s="2" t="n">
        <v>40</v>
      </c>
      <c r="C442" s="2" t="s">
        <v>17</v>
      </c>
      <c r="D442" s="2" t="s">
        <v>18</v>
      </c>
      <c r="E442" s="2" t="n">
        <v>101610</v>
      </c>
      <c r="F442" s="2" t="n">
        <v>4</v>
      </c>
      <c r="G442" s="2" t="n">
        <v>10</v>
      </c>
      <c r="H442" s="2" t="n">
        <v>13</v>
      </c>
      <c r="I442" s="2" t="s">
        <v>13</v>
      </c>
      <c r="J442" s="2" t="s">
        <v>16</v>
      </c>
      <c r="K442" s="2" t="n">
        <v>100</v>
      </c>
    </row>
    <row r="443" customFormat="false" ht="15" hidden="false" customHeight="false" outlineLevel="0" collapsed="false">
      <c r="A443" s="3" t="n">
        <v>442</v>
      </c>
      <c r="B443" s="3" t="n">
        <v>32</v>
      </c>
      <c r="C443" s="3" t="s">
        <v>11</v>
      </c>
      <c r="D443" s="3" t="s">
        <v>23</v>
      </c>
      <c r="E443" s="3" t="n">
        <v>107025</v>
      </c>
      <c r="F443" s="3" t="n">
        <v>10</v>
      </c>
      <c r="G443" s="3" t="n">
        <v>6</v>
      </c>
      <c r="H443" s="3" t="n">
        <v>5</v>
      </c>
      <c r="I443" s="3" t="s">
        <v>13</v>
      </c>
      <c r="J443" s="3" t="s">
        <v>14</v>
      </c>
      <c r="K443" s="3" t="n">
        <v>100</v>
      </c>
    </row>
    <row r="444" customFormat="false" ht="15" hidden="false" customHeight="false" outlineLevel="0" collapsed="false">
      <c r="A444" s="2" t="n">
        <v>443</v>
      </c>
      <c r="B444" s="2" t="n">
        <v>45</v>
      </c>
      <c r="C444" s="2" t="s">
        <v>11</v>
      </c>
      <c r="D444" s="2" t="s">
        <v>20</v>
      </c>
      <c r="E444" s="2" t="n">
        <v>38127</v>
      </c>
      <c r="F444" s="2" t="n">
        <v>2</v>
      </c>
      <c r="G444" s="2" t="n">
        <v>4</v>
      </c>
      <c r="H444" s="2" t="n">
        <v>1</v>
      </c>
      <c r="I444" s="2" t="s">
        <v>13</v>
      </c>
      <c r="J444" s="2" t="s">
        <v>16</v>
      </c>
      <c r="K444" s="2" t="n">
        <v>51.89</v>
      </c>
    </row>
    <row r="445" customFormat="false" ht="15" hidden="false" customHeight="false" outlineLevel="0" collapsed="false">
      <c r="A445" s="3" t="n">
        <v>444</v>
      </c>
      <c r="B445" s="3" t="n">
        <v>51</v>
      </c>
      <c r="C445" s="3" t="s">
        <v>17</v>
      </c>
      <c r="D445" s="3" t="s">
        <v>12</v>
      </c>
      <c r="E445" s="3" t="n">
        <v>43960</v>
      </c>
      <c r="F445" s="3" t="n">
        <v>3</v>
      </c>
      <c r="G445" s="3" t="n">
        <v>8</v>
      </c>
      <c r="H445" s="3" t="n">
        <v>5</v>
      </c>
      <c r="I445" s="3" t="s">
        <v>15</v>
      </c>
      <c r="J445" s="3" t="s">
        <v>14</v>
      </c>
      <c r="K445" s="3" t="n">
        <v>91.84</v>
      </c>
    </row>
    <row r="446" customFormat="false" ht="15" hidden="false" customHeight="false" outlineLevel="0" collapsed="false">
      <c r="A446" s="2" t="n">
        <v>445</v>
      </c>
      <c r="B446" s="2" t="n">
        <v>19</v>
      </c>
      <c r="C446" s="2" t="s">
        <v>11</v>
      </c>
      <c r="D446" s="2" t="s">
        <v>18</v>
      </c>
      <c r="E446" s="2" t="n">
        <v>73368</v>
      </c>
      <c r="F446" s="2" t="n">
        <v>3</v>
      </c>
      <c r="G446" s="2" t="n">
        <v>1</v>
      </c>
      <c r="H446" s="2" t="n">
        <v>5</v>
      </c>
      <c r="I446" s="2" t="s">
        <v>21</v>
      </c>
      <c r="J446" s="2" t="s">
        <v>14</v>
      </c>
      <c r="K446" s="2" t="n">
        <v>45.45</v>
      </c>
    </row>
    <row r="447" customFormat="false" ht="15" hidden="false" customHeight="false" outlineLevel="0" collapsed="false">
      <c r="A447" s="3" t="n">
        <v>446</v>
      </c>
      <c r="B447" s="3" t="n">
        <v>49</v>
      </c>
      <c r="C447" s="3" t="s">
        <v>11</v>
      </c>
      <c r="D447" s="3" t="s">
        <v>23</v>
      </c>
      <c r="E447" s="3" t="n">
        <v>41426</v>
      </c>
      <c r="F447" s="3" t="n">
        <v>7</v>
      </c>
      <c r="G447" s="3" t="n">
        <v>1</v>
      </c>
      <c r="H447" s="3" t="n">
        <v>7</v>
      </c>
      <c r="I447" s="3" t="s">
        <v>21</v>
      </c>
      <c r="J447" s="3" t="s">
        <v>14</v>
      </c>
      <c r="K447" s="3" t="n">
        <v>56.71</v>
      </c>
    </row>
    <row r="448" customFormat="false" ht="15" hidden="false" customHeight="false" outlineLevel="0" collapsed="false">
      <c r="A448" s="2" t="n">
        <v>447</v>
      </c>
      <c r="B448" s="2" t="n">
        <v>40</v>
      </c>
      <c r="C448" s="2" t="s">
        <v>17</v>
      </c>
      <c r="D448" s="2" t="s">
        <v>23</v>
      </c>
      <c r="E448" s="2" t="n">
        <v>66910</v>
      </c>
      <c r="F448" s="2" t="n">
        <v>10</v>
      </c>
      <c r="G448" s="2" t="n">
        <v>10</v>
      </c>
      <c r="H448" s="2" t="n">
        <v>2</v>
      </c>
      <c r="I448" s="2" t="s">
        <v>15</v>
      </c>
      <c r="J448" s="2" t="s">
        <v>16</v>
      </c>
      <c r="K448" s="2" t="n">
        <v>100</v>
      </c>
    </row>
    <row r="449" customFormat="false" ht="15" hidden="false" customHeight="false" outlineLevel="0" collapsed="false">
      <c r="A449" s="3" t="n">
        <v>448</v>
      </c>
      <c r="B449" s="3" t="n">
        <v>39</v>
      </c>
      <c r="C449" s="3" t="s">
        <v>11</v>
      </c>
      <c r="D449" s="3" t="s">
        <v>20</v>
      </c>
      <c r="E449" s="3" t="n">
        <v>54630</v>
      </c>
      <c r="F449" s="3" t="n">
        <v>8</v>
      </c>
      <c r="G449" s="3" t="n">
        <v>9</v>
      </c>
      <c r="H449" s="3" t="n">
        <v>12</v>
      </c>
      <c r="I449" s="3" t="s">
        <v>21</v>
      </c>
      <c r="J449" s="3" t="s">
        <v>19</v>
      </c>
      <c r="K449" s="3" t="n">
        <v>100</v>
      </c>
    </row>
    <row r="450" customFormat="false" ht="15" hidden="false" customHeight="false" outlineLevel="0" collapsed="false">
      <c r="A450" s="2" t="n">
        <v>449</v>
      </c>
      <c r="B450" s="2" t="n">
        <v>68</v>
      </c>
      <c r="C450" s="2" t="s">
        <v>17</v>
      </c>
      <c r="D450" s="2" t="s">
        <v>18</v>
      </c>
      <c r="E450" s="2" t="n">
        <v>73274</v>
      </c>
      <c r="F450" s="2" t="n">
        <v>8</v>
      </c>
      <c r="G450" s="2" t="n">
        <v>4</v>
      </c>
      <c r="H450" s="2" t="n">
        <v>14</v>
      </c>
      <c r="I450" s="2" t="s">
        <v>15</v>
      </c>
      <c r="J450" s="2" t="s">
        <v>19</v>
      </c>
      <c r="K450" s="2" t="n">
        <v>100</v>
      </c>
    </row>
    <row r="451" customFormat="false" ht="15" hidden="false" customHeight="false" outlineLevel="0" collapsed="false">
      <c r="A451" s="3" t="n">
        <v>450</v>
      </c>
      <c r="B451" s="3" t="n">
        <v>42</v>
      </c>
      <c r="C451" s="3" t="s">
        <v>11</v>
      </c>
      <c r="D451" s="3" t="s">
        <v>23</v>
      </c>
      <c r="E451" s="3" t="n">
        <v>108368</v>
      </c>
      <c r="F451" s="3" t="n">
        <v>9</v>
      </c>
      <c r="G451" s="3" t="n">
        <v>2</v>
      </c>
      <c r="H451" s="3" t="n">
        <v>14</v>
      </c>
      <c r="I451" s="3" t="s">
        <v>15</v>
      </c>
      <c r="J451" s="3" t="s">
        <v>14</v>
      </c>
      <c r="K451" s="3" t="n">
        <v>100</v>
      </c>
    </row>
    <row r="452" customFormat="false" ht="15" hidden="false" customHeight="false" outlineLevel="0" collapsed="false">
      <c r="A452" s="2" t="n">
        <v>451</v>
      </c>
      <c r="B452" s="2" t="n">
        <v>39</v>
      </c>
      <c r="C452" s="2" t="s">
        <v>11</v>
      </c>
      <c r="D452" s="2" t="s">
        <v>18</v>
      </c>
      <c r="E452" s="2" t="n">
        <v>48373</v>
      </c>
      <c r="F452" s="2" t="n">
        <v>2</v>
      </c>
      <c r="G452" s="2" t="n">
        <v>4</v>
      </c>
      <c r="H452" s="2" t="n">
        <v>17</v>
      </c>
      <c r="I452" s="2" t="s">
        <v>13</v>
      </c>
      <c r="J452" s="2" t="s">
        <v>19</v>
      </c>
      <c r="K452" s="2" t="n">
        <v>59.53</v>
      </c>
    </row>
    <row r="453" customFormat="false" ht="15" hidden="false" customHeight="false" outlineLevel="0" collapsed="false">
      <c r="A453" s="3" t="n">
        <v>452</v>
      </c>
      <c r="B453" s="3" t="n">
        <v>39</v>
      </c>
      <c r="C453" s="3" t="s">
        <v>11</v>
      </c>
      <c r="D453" s="3" t="s">
        <v>20</v>
      </c>
      <c r="E453" s="3" t="n">
        <v>99559</v>
      </c>
      <c r="F453" s="3" t="n">
        <v>10</v>
      </c>
      <c r="G453" s="3" t="n">
        <v>6</v>
      </c>
      <c r="H453" s="3" t="n">
        <v>15</v>
      </c>
      <c r="I453" s="3" t="s">
        <v>15</v>
      </c>
      <c r="J453" s="3" t="s">
        <v>19</v>
      </c>
      <c r="K453" s="3" t="n">
        <v>100</v>
      </c>
    </row>
    <row r="454" customFormat="false" ht="15" hidden="false" customHeight="false" outlineLevel="0" collapsed="false">
      <c r="A454" s="2" t="n">
        <v>453</v>
      </c>
      <c r="B454" s="2" t="n">
        <v>66</v>
      </c>
      <c r="C454" s="2" t="s">
        <v>17</v>
      </c>
      <c r="D454" s="2" t="s">
        <v>22</v>
      </c>
      <c r="E454" s="2" t="n">
        <v>105071</v>
      </c>
      <c r="F454" s="2" t="n">
        <v>8</v>
      </c>
      <c r="G454" s="2" t="n">
        <v>3</v>
      </c>
      <c r="H454" s="2" t="n">
        <v>19</v>
      </c>
      <c r="I454" s="2" t="s">
        <v>13</v>
      </c>
      <c r="J454" s="2" t="s">
        <v>19</v>
      </c>
      <c r="K454" s="2" t="n">
        <v>100</v>
      </c>
    </row>
    <row r="455" customFormat="false" ht="15" hidden="false" customHeight="false" outlineLevel="0" collapsed="false">
      <c r="A455" s="3" t="n">
        <v>454</v>
      </c>
      <c r="B455" s="3" t="n">
        <v>69</v>
      </c>
      <c r="C455" s="3" t="s">
        <v>17</v>
      </c>
      <c r="D455" s="3" t="s">
        <v>23</v>
      </c>
      <c r="E455" s="3" t="n">
        <v>65804</v>
      </c>
      <c r="F455" s="3" t="n">
        <v>6</v>
      </c>
      <c r="G455" s="3" t="n">
        <v>1</v>
      </c>
      <c r="H455" s="3" t="n">
        <v>2</v>
      </c>
      <c r="I455" s="3" t="s">
        <v>21</v>
      </c>
      <c r="J455" s="3" t="s">
        <v>16</v>
      </c>
      <c r="K455" s="3" t="n">
        <v>78.16</v>
      </c>
    </row>
    <row r="456" customFormat="false" ht="15" hidden="false" customHeight="false" outlineLevel="0" collapsed="false">
      <c r="A456" s="2" t="n">
        <v>455</v>
      </c>
      <c r="B456" s="2" t="n">
        <v>59</v>
      </c>
      <c r="C456" s="2" t="s">
        <v>17</v>
      </c>
      <c r="D456" s="2" t="s">
        <v>12</v>
      </c>
      <c r="E456" s="2" t="n">
        <v>65897</v>
      </c>
      <c r="F456" s="2" t="n">
        <v>4</v>
      </c>
      <c r="G456" s="2" t="n">
        <v>9</v>
      </c>
      <c r="H456" s="2" t="n">
        <v>4</v>
      </c>
      <c r="I456" s="2" t="s">
        <v>21</v>
      </c>
      <c r="J456" s="2" t="s">
        <v>14</v>
      </c>
      <c r="K456" s="2" t="n">
        <v>88.83</v>
      </c>
    </row>
    <row r="457" customFormat="false" ht="15" hidden="false" customHeight="false" outlineLevel="0" collapsed="false">
      <c r="A457" s="3" t="n">
        <v>456</v>
      </c>
      <c r="B457" s="3" t="n">
        <v>23</v>
      </c>
      <c r="C457" s="3" t="s">
        <v>17</v>
      </c>
      <c r="D457" s="3" t="s">
        <v>18</v>
      </c>
      <c r="E457" s="3" t="n">
        <v>90011</v>
      </c>
      <c r="F457" s="3" t="n">
        <v>4</v>
      </c>
      <c r="G457" s="3" t="n">
        <v>7</v>
      </c>
      <c r="H457" s="3" t="n">
        <v>5</v>
      </c>
      <c r="I457" s="3" t="s">
        <v>13</v>
      </c>
      <c r="J457" s="3" t="s">
        <v>19</v>
      </c>
      <c r="K457" s="3" t="n">
        <v>91.82</v>
      </c>
    </row>
    <row r="458" customFormat="false" ht="15" hidden="false" customHeight="false" outlineLevel="0" collapsed="false">
      <c r="A458" s="2" t="n">
        <v>457</v>
      </c>
      <c r="B458" s="2" t="n">
        <v>32</v>
      </c>
      <c r="C458" s="2" t="s">
        <v>11</v>
      </c>
      <c r="D458" s="2" t="s">
        <v>20</v>
      </c>
      <c r="E458" s="2" t="n">
        <v>79043</v>
      </c>
      <c r="F458" s="2" t="n">
        <v>9</v>
      </c>
      <c r="G458" s="2" t="n">
        <v>2</v>
      </c>
      <c r="H458" s="2" t="n">
        <v>19</v>
      </c>
      <c r="I458" s="2" t="s">
        <v>21</v>
      </c>
      <c r="J458" s="2" t="s">
        <v>19</v>
      </c>
      <c r="K458" s="2" t="n">
        <v>76.74</v>
      </c>
    </row>
    <row r="459" customFormat="false" ht="15" hidden="false" customHeight="false" outlineLevel="0" collapsed="false">
      <c r="A459" s="3" t="n">
        <v>458</v>
      </c>
      <c r="B459" s="3" t="n">
        <v>60</v>
      </c>
      <c r="C459" s="3" t="s">
        <v>17</v>
      </c>
      <c r="D459" s="3" t="s">
        <v>20</v>
      </c>
      <c r="E459" s="3" t="n">
        <v>89665</v>
      </c>
      <c r="F459" s="3" t="n">
        <v>4</v>
      </c>
      <c r="G459" s="3" t="n">
        <v>9</v>
      </c>
      <c r="H459" s="3" t="n">
        <v>12</v>
      </c>
      <c r="I459" s="3" t="s">
        <v>21</v>
      </c>
      <c r="J459" s="3" t="s">
        <v>16</v>
      </c>
      <c r="K459" s="3" t="n">
        <v>99.01</v>
      </c>
    </row>
    <row r="460" customFormat="false" ht="15" hidden="false" customHeight="false" outlineLevel="0" collapsed="false">
      <c r="A460" s="2" t="n">
        <v>459</v>
      </c>
      <c r="B460" s="2" t="n">
        <v>54</v>
      </c>
      <c r="C460" s="2" t="s">
        <v>11</v>
      </c>
      <c r="D460" s="2" t="s">
        <v>12</v>
      </c>
      <c r="E460" s="2" t="n">
        <v>73692</v>
      </c>
      <c r="F460" s="2" t="n">
        <v>2</v>
      </c>
      <c r="G460" s="2" t="n">
        <v>4</v>
      </c>
      <c r="H460" s="2" t="n">
        <v>12</v>
      </c>
      <c r="I460" s="2" t="s">
        <v>21</v>
      </c>
      <c r="J460" s="2" t="s">
        <v>16</v>
      </c>
      <c r="K460" s="2" t="n">
        <v>65.82</v>
      </c>
    </row>
    <row r="461" customFormat="false" ht="15" hidden="false" customHeight="false" outlineLevel="0" collapsed="false">
      <c r="A461" s="3" t="n">
        <v>460</v>
      </c>
      <c r="B461" s="3" t="n">
        <v>50</v>
      </c>
      <c r="C461" s="3" t="s">
        <v>11</v>
      </c>
      <c r="D461" s="3" t="s">
        <v>22</v>
      </c>
      <c r="E461" s="3" t="n">
        <v>41386</v>
      </c>
      <c r="F461" s="3" t="n">
        <v>5</v>
      </c>
      <c r="G461" s="3" t="n">
        <v>6</v>
      </c>
      <c r="H461" s="3" t="n">
        <v>20</v>
      </c>
      <c r="I461" s="3" t="s">
        <v>21</v>
      </c>
      <c r="J461" s="3" t="s">
        <v>14</v>
      </c>
      <c r="K461" s="3" t="n">
        <v>96.38</v>
      </c>
    </row>
    <row r="462" customFormat="false" ht="15" hidden="false" customHeight="false" outlineLevel="0" collapsed="false">
      <c r="A462" s="2" t="n">
        <v>461</v>
      </c>
      <c r="B462" s="2" t="n">
        <v>25</v>
      </c>
      <c r="C462" s="2" t="s">
        <v>11</v>
      </c>
      <c r="D462" s="2" t="s">
        <v>18</v>
      </c>
      <c r="E462" s="2" t="n">
        <v>114115</v>
      </c>
      <c r="F462" s="2" t="n">
        <v>2</v>
      </c>
      <c r="G462" s="2" t="n">
        <v>8</v>
      </c>
      <c r="H462" s="2" t="n">
        <v>1</v>
      </c>
      <c r="I462" s="2" t="s">
        <v>13</v>
      </c>
      <c r="J462" s="2" t="s">
        <v>16</v>
      </c>
      <c r="K462" s="2" t="n">
        <v>89.5</v>
      </c>
    </row>
    <row r="463" customFormat="false" ht="15" hidden="false" customHeight="false" outlineLevel="0" collapsed="false">
      <c r="A463" s="3" t="n">
        <v>462</v>
      </c>
      <c r="B463" s="3" t="n">
        <v>61</v>
      </c>
      <c r="C463" s="3" t="s">
        <v>11</v>
      </c>
      <c r="D463" s="3" t="s">
        <v>22</v>
      </c>
      <c r="E463" s="3" t="n">
        <v>110184</v>
      </c>
      <c r="F463" s="3" t="n">
        <v>5</v>
      </c>
      <c r="G463" s="3" t="n">
        <v>4</v>
      </c>
      <c r="H463" s="3" t="n">
        <v>15</v>
      </c>
      <c r="I463" s="3" t="s">
        <v>13</v>
      </c>
      <c r="J463" s="3" t="s">
        <v>14</v>
      </c>
      <c r="K463" s="3" t="n">
        <v>100</v>
      </c>
    </row>
    <row r="464" customFormat="false" ht="15" hidden="false" customHeight="false" outlineLevel="0" collapsed="false">
      <c r="A464" s="2" t="n">
        <v>463</v>
      </c>
      <c r="B464" s="2" t="n">
        <v>61</v>
      </c>
      <c r="C464" s="2" t="s">
        <v>11</v>
      </c>
      <c r="D464" s="2" t="s">
        <v>20</v>
      </c>
      <c r="E464" s="2" t="n">
        <v>80385</v>
      </c>
      <c r="F464" s="2" t="n">
        <v>7</v>
      </c>
      <c r="G464" s="2" t="n">
        <v>5</v>
      </c>
      <c r="H464" s="2" t="n">
        <v>10</v>
      </c>
      <c r="I464" s="2" t="s">
        <v>15</v>
      </c>
      <c r="J464" s="2" t="s">
        <v>19</v>
      </c>
      <c r="K464" s="2" t="n">
        <v>100</v>
      </c>
    </row>
    <row r="465" customFormat="false" ht="15" hidden="false" customHeight="false" outlineLevel="0" collapsed="false">
      <c r="A465" s="3" t="n">
        <v>464</v>
      </c>
      <c r="B465" s="3" t="n">
        <v>22</v>
      </c>
      <c r="C465" s="3" t="s">
        <v>11</v>
      </c>
      <c r="D465" s="3" t="s">
        <v>23</v>
      </c>
      <c r="E465" s="3" t="n">
        <v>98340</v>
      </c>
      <c r="F465" s="3" t="n">
        <v>2</v>
      </c>
      <c r="G465" s="3" t="n">
        <v>7</v>
      </c>
      <c r="H465" s="3" t="n">
        <v>5</v>
      </c>
      <c r="I465" s="3" t="s">
        <v>21</v>
      </c>
      <c r="J465" s="3" t="s">
        <v>16</v>
      </c>
      <c r="K465" s="3" t="n">
        <v>95.2</v>
      </c>
    </row>
    <row r="466" customFormat="false" ht="15" hidden="false" customHeight="false" outlineLevel="0" collapsed="false">
      <c r="A466" s="2" t="n">
        <v>465</v>
      </c>
      <c r="B466" s="2" t="n">
        <v>56</v>
      </c>
      <c r="C466" s="2" t="s">
        <v>11</v>
      </c>
      <c r="D466" s="2" t="s">
        <v>22</v>
      </c>
      <c r="E466" s="2" t="n">
        <v>116938</v>
      </c>
      <c r="F466" s="2" t="n">
        <v>9</v>
      </c>
      <c r="G466" s="2" t="n">
        <v>5</v>
      </c>
      <c r="H466" s="2" t="n">
        <v>1</v>
      </c>
      <c r="I466" s="2" t="s">
        <v>21</v>
      </c>
      <c r="J466" s="2" t="s">
        <v>16</v>
      </c>
      <c r="K466" s="2" t="n">
        <v>100</v>
      </c>
    </row>
    <row r="467" customFormat="false" ht="15" hidden="false" customHeight="false" outlineLevel="0" collapsed="false">
      <c r="A467" s="3" t="n">
        <v>466</v>
      </c>
      <c r="B467" s="3" t="n">
        <v>21</v>
      </c>
      <c r="C467" s="3" t="s">
        <v>17</v>
      </c>
      <c r="D467" s="3" t="s">
        <v>23</v>
      </c>
      <c r="E467" s="3" t="n">
        <v>77377</v>
      </c>
      <c r="F467" s="3" t="n">
        <v>1</v>
      </c>
      <c r="G467" s="3" t="n">
        <v>4</v>
      </c>
      <c r="H467" s="3" t="n">
        <v>10</v>
      </c>
      <c r="I467" s="3" t="s">
        <v>15</v>
      </c>
      <c r="J467" s="3" t="s">
        <v>19</v>
      </c>
      <c r="K467" s="3" t="n">
        <v>44.34</v>
      </c>
    </row>
    <row r="468" customFormat="false" ht="15" hidden="false" customHeight="false" outlineLevel="0" collapsed="false">
      <c r="A468" s="2" t="n">
        <v>467</v>
      </c>
      <c r="B468" s="2" t="n">
        <v>23</v>
      </c>
      <c r="C468" s="2" t="s">
        <v>11</v>
      </c>
      <c r="D468" s="2" t="s">
        <v>12</v>
      </c>
      <c r="E468" s="2" t="n">
        <v>71104</v>
      </c>
      <c r="F468" s="2" t="n">
        <v>10</v>
      </c>
      <c r="G468" s="2" t="n">
        <v>9</v>
      </c>
      <c r="H468" s="2" t="n">
        <v>20</v>
      </c>
      <c r="I468" s="2" t="s">
        <v>21</v>
      </c>
      <c r="J468" s="2" t="s">
        <v>14</v>
      </c>
      <c r="K468" s="2" t="n">
        <v>100</v>
      </c>
    </row>
    <row r="469" customFormat="false" ht="15" hidden="false" customHeight="false" outlineLevel="0" collapsed="false">
      <c r="A469" s="3" t="n">
        <v>468</v>
      </c>
      <c r="B469" s="3" t="n">
        <v>62</v>
      </c>
      <c r="C469" s="3" t="s">
        <v>17</v>
      </c>
      <c r="D469" s="3" t="s">
        <v>20</v>
      </c>
      <c r="E469" s="3" t="n">
        <v>87944</v>
      </c>
      <c r="F469" s="3" t="n">
        <v>9</v>
      </c>
      <c r="G469" s="3" t="n">
        <v>7</v>
      </c>
      <c r="H469" s="3" t="n">
        <v>11</v>
      </c>
      <c r="I469" s="3" t="s">
        <v>21</v>
      </c>
      <c r="J469" s="3" t="s">
        <v>14</v>
      </c>
      <c r="K469" s="3" t="n">
        <v>100</v>
      </c>
    </row>
    <row r="470" customFormat="false" ht="15" hidden="false" customHeight="false" outlineLevel="0" collapsed="false">
      <c r="A470" s="2" t="n">
        <v>469</v>
      </c>
      <c r="B470" s="2" t="n">
        <v>49</v>
      </c>
      <c r="C470" s="2" t="s">
        <v>11</v>
      </c>
      <c r="D470" s="2" t="s">
        <v>23</v>
      </c>
      <c r="E470" s="2" t="n">
        <v>116788</v>
      </c>
      <c r="F470" s="2" t="n">
        <v>4</v>
      </c>
      <c r="G470" s="2" t="n">
        <v>2</v>
      </c>
      <c r="H470" s="2" t="n">
        <v>12</v>
      </c>
      <c r="I470" s="2" t="s">
        <v>21</v>
      </c>
      <c r="J470" s="2" t="s">
        <v>19</v>
      </c>
      <c r="K470" s="2" t="n">
        <v>83.16</v>
      </c>
    </row>
    <row r="471" customFormat="false" ht="15" hidden="false" customHeight="false" outlineLevel="0" collapsed="false">
      <c r="A471" s="3" t="n">
        <v>470</v>
      </c>
      <c r="B471" s="3" t="n">
        <v>69</v>
      </c>
      <c r="C471" s="3" t="s">
        <v>17</v>
      </c>
      <c r="D471" s="3" t="s">
        <v>18</v>
      </c>
      <c r="E471" s="3" t="n">
        <v>60597</v>
      </c>
      <c r="F471" s="3" t="n">
        <v>3</v>
      </c>
      <c r="G471" s="3" t="n">
        <v>1</v>
      </c>
      <c r="H471" s="3" t="n">
        <v>11</v>
      </c>
      <c r="I471" s="3" t="s">
        <v>21</v>
      </c>
      <c r="J471" s="3" t="s">
        <v>16</v>
      </c>
      <c r="K471" s="3" t="n">
        <v>53.28</v>
      </c>
    </row>
    <row r="472" customFormat="false" ht="15" hidden="false" customHeight="false" outlineLevel="0" collapsed="false">
      <c r="A472" s="2" t="n">
        <v>471</v>
      </c>
      <c r="B472" s="2" t="n">
        <v>47</v>
      </c>
      <c r="C472" s="2" t="s">
        <v>11</v>
      </c>
      <c r="D472" s="2" t="s">
        <v>20</v>
      </c>
      <c r="E472" s="2" t="n">
        <v>81573</v>
      </c>
      <c r="F472" s="2" t="n">
        <v>10</v>
      </c>
      <c r="G472" s="2" t="n">
        <v>9</v>
      </c>
      <c r="H472" s="2" t="n">
        <v>4</v>
      </c>
      <c r="I472" s="2" t="s">
        <v>15</v>
      </c>
      <c r="J472" s="2" t="s">
        <v>14</v>
      </c>
      <c r="K472" s="2" t="n">
        <v>100</v>
      </c>
    </row>
    <row r="473" customFormat="false" ht="15" hidden="false" customHeight="false" outlineLevel="0" collapsed="false">
      <c r="A473" s="3" t="n">
        <v>472</v>
      </c>
      <c r="B473" s="3" t="n">
        <v>64</v>
      </c>
      <c r="C473" s="3" t="s">
        <v>17</v>
      </c>
      <c r="D473" s="3" t="s">
        <v>12</v>
      </c>
      <c r="E473" s="3" t="n">
        <v>45335</v>
      </c>
      <c r="F473" s="3" t="n">
        <v>3</v>
      </c>
      <c r="G473" s="3" t="n">
        <v>3</v>
      </c>
      <c r="H473" s="3" t="n">
        <v>12</v>
      </c>
      <c r="I473" s="3" t="s">
        <v>21</v>
      </c>
      <c r="J473" s="3" t="s">
        <v>16</v>
      </c>
      <c r="K473" s="3" t="n">
        <v>66.13</v>
      </c>
    </row>
    <row r="474" customFormat="false" ht="15" hidden="false" customHeight="false" outlineLevel="0" collapsed="false">
      <c r="A474" s="2" t="n">
        <v>473</v>
      </c>
      <c r="B474" s="2" t="n">
        <v>52</v>
      </c>
      <c r="C474" s="2" t="s">
        <v>11</v>
      </c>
      <c r="D474" s="2" t="s">
        <v>18</v>
      </c>
      <c r="E474" s="2" t="n">
        <v>96915</v>
      </c>
      <c r="F474" s="2" t="n">
        <v>9</v>
      </c>
      <c r="G474" s="2" t="n">
        <v>10</v>
      </c>
      <c r="H474" s="2" t="n">
        <v>9</v>
      </c>
      <c r="I474" s="2" t="s">
        <v>21</v>
      </c>
      <c r="J474" s="2" t="s">
        <v>19</v>
      </c>
      <c r="K474" s="2" t="n">
        <v>100</v>
      </c>
    </row>
    <row r="475" customFormat="false" ht="15" hidden="false" customHeight="false" outlineLevel="0" collapsed="false">
      <c r="A475" s="3" t="n">
        <v>474</v>
      </c>
      <c r="B475" s="3" t="n">
        <v>57</v>
      </c>
      <c r="C475" s="3" t="s">
        <v>17</v>
      </c>
      <c r="D475" s="3" t="s">
        <v>20</v>
      </c>
      <c r="E475" s="3" t="n">
        <v>88126</v>
      </c>
      <c r="F475" s="3" t="n">
        <v>7</v>
      </c>
      <c r="G475" s="3" t="n">
        <v>9</v>
      </c>
      <c r="H475" s="3" t="n">
        <v>15</v>
      </c>
      <c r="I475" s="3" t="s">
        <v>15</v>
      </c>
      <c r="J475" s="3" t="s">
        <v>19</v>
      </c>
      <c r="K475" s="3" t="n">
        <v>100</v>
      </c>
    </row>
    <row r="476" customFormat="false" ht="15" hidden="false" customHeight="false" outlineLevel="0" collapsed="false">
      <c r="A476" s="2" t="n">
        <v>475</v>
      </c>
      <c r="B476" s="2" t="n">
        <v>69</v>
      </c>
      <c r="C476" s="2" t="s">
        <v>17</v>
      </c>
      <c r="D476" s="2" t="s">
        <v>22</v>
      </c>
      <c r="E476" s="2" t="n">
        <v>86870</v>
      </c>
      <c r="F476" s="2" t="n">
        <v>2</v>
      </c>
      <c r="G476" s="2" t="n">
        <v>6</v>
      </c>
      <c r="H476" s="2" t="n">
        <v>7</v>
      </c>
      <c r="I476" s="2" t="s">
        <v>13</v>
      </c>
      <c r="J476" s="2" t="s">
        <v>19</v>
      </c>
      <c r="K476" s="2" t="n">
        <v>89.02</v>
      </c>
    </row>
    <row r="477" customFormat="false" ht="15" hidden="false" customHeight="false" outlineLevel="0" collapsed="false">
      <c r="A477" s="3" t="n">
        <v>476</v>
      </c>
      <c r="B477" s="3" t="n">
        <v>33</v>
      </c>
      <c r="C477" s="3" t="s">
        <v>17</v>
      </c>
      <c r="D477" s="3" t="s">
        <v>20</v>
      </c>
      <c r="E477" s="3" t="n">
        <v>74495</v>
      </c>
      <c r="F477" s="3" t="n">
        <v>3</v>
      </c>
      <c r="G477" s="3" t="n">
        <v>2</v>
      </c>
      <c r="H477" s="3" t="n">
        <v>1</v>
      </c>
      <c r="I477" s="3" t="s">
        <v>21</v>
      </c>
      <c r="J477" s="3" t="s">
        <v>19</v>
      </c>
      <c r="K477" s="3" t="n">
        <v>42.66</v>
      </c>
    </row>
    <row r="478" customFormat="false" ht="15" hidden="false" customHeight="false" outlineLevel="0" collapsed="false">
      <c r="A478" s="2" t="n">
        <v>477</v>
      </c>
      <c r="B478" s="2" t="n">
        <v>30</v>
      </c>
      <c r="C478" s="2" t="s">
        <v>11</v>
      </c>
      <c r="D478" s="2" t="s">
        <v>18</v>
      </c>
      <c r="E478" s="2" t="n">
        <v>71957</v>
      </c>
      <c r="F478" s="2" t="n">
        <v>1</v>
      </c>
      <c r="G478" s="2" t="n">
        <v>5</v>
      </c>
      <c r="H478" s="2" t="n">
        <v>20</v>
      </c>
      <c r="I478" s="2" t="s">
        <v>15</v>
      </c>
      <c r="J478" s="2" t="s">
        <v>19</v>
      </c>
      <c r="K478" s="2" t="n">
        <v>62.42</v>
      </c>
    </row>
    <row r="479" customFormat="false" ht="15" hidden="false" customHeight="false" outlineLevel="0" collapsed="false">
      <c r="A479" s="3" t="n">
        <v>478</v>
      </c>
      <c r="B479" s="3" t="n">
        <v>67</v>
      </c>
      <c r="C479" s="3" t="s">
        <v>11</v>
      </c>
      <c r="D479" s="3" t="s">
        <v>23</v>
      </c>
      <c r="E479" s="3" t="n">
        <v>61892</v>
      </c>
      <c r="F479" s="3" t="n">
        <v>5</v>
      </c>
      <c r="G479" s="3" t="n">
        <v>6</v>
      </c>
      <c r="H479" s="3" t="n">
        <v>13</v>
      </c>
      <c r="I479" s="3" t="s">
        <v>13</v>
      </c>
      <c r="J479" s="3" t="s">
        <v>19</v>
      </c>
      <c r="K479" s="3" t="n">
        <v>73.64</v>
      </c>
    </row>
    <row r="480" customFormat="false" ht="15" hidden="false" customHeight="false" outlineLevel="0" collapsed="false">
      <c r="A480" s="2" t="n">
        <v>479</v>
      </c>
      <c r="B480" s="2" t="n">
        <v>59</v>
      </c>
      <c r="C480" s="2" t="s">
        <v>17</v>
      </c>
      <c r="D480" s="2" t="s">
        <v>23</v>
      </c>
      <c r="E480" s="2" t="n">
        <v>69653</v>
      </c>
      <c r="F480" s="2" t="n">
        <v>5</v>
      </c>
      <c r="G480" s="2" t="n">
        <v>7</v>
      </c>
      <c r="H480" s="2" t="n">
        <v>5</v>
      </c>
      <c r="I480" s="2" t="s">
        <v>21</v>
      </c>
      <c r="J480" s="2" t="s">
        <v>16</v>
      </c>
      <c r="K480" s="2" t="n">
        <v>100</v>
      </c>
    </row>
    <row r="481" customFormat="false" ht="15" hidden="false" customHeight="false" outlineLevel="0" collapsed="false">
      <c r="A481" s="3" t="n">
        <v>480</v>
      </c>
      <c r="B481" s="3" t="n">
        <v>47</v>
      </c>
      <c r="C481" s="3" t="s">
        <v>17</v>
      </c>
      <c r="D481" s="3" t="s">
        <v>20</v>
      </c>
      <c r="E481" s="3" t="n">
        <v>37948</v>
      </c>
      <c r="F481" s="3" t="n">
        <v>9</v>
      </c>
      <c r="G481" s="3" t="n">
        <v>4</v>
      </c>
      <c r="H481" s="3" t="n">
        <v>9</v>
      </c>
      <c r="I481" s="3" t="s">
        <v>21</v>
      </c>
      <c r="J481" s="3" t="s">
        <v>19</v>
      </c>
      <c r="K481" s="3" t="n">
        <v>79.28</v>
      </c>
    </row>
    <row r="482" customFormat="false" ht="15" hidden="false" customHeight="false" outlineLevel="0" collapsed="false">
      <c r="A482" s="2" t="n">
        <v>481</v>
      </c>
      <c r="B482" s="2" t="n">
        <v>36</v>
      </c>
      <c r="C482" s="2" t="s">
        <v>11</v>
      </c>
      <c r="D482" s="2" t="s">
        <v>20</v>
      </c>
      <c r="E482" s="2" t="n">
        <v>100940</v>
      </c>
      <c r="F482" s="2" t="n">
        <v>10</v>
      </c>
      <c r="G482" s="2" t="n">
        <v>2</v>
      </c>
      <c r="H482" s="2" t="n">
        <v>3</v>
      </c>
      <c r="I482" s="2" t="s">
        <v>15</v>
      </c>
      <c r="J482" s="2" t="s">
        <v>14</v>
      </c>
      <c r="K482" s="2" t="n">
        <v>100</v>
      </c>
    </row>
    <row r="483" customFormat="false" ht="15" hidden="false" customHeight="false" outlineLevel="0" collapsed="false">
      <c r="A483" s="3" t="n">
        <v>482</v>
      </c>
      <c r="B483" s="3" t="n">
        <v>34</v>
      </c>
      <c r="C483" s="3" t="s">
        <v>11</v>
      </c>
      <c r="D483" s="3" t="s">
        <v>12</v>
      </c>
      <c r="E483" s="3" t="n">
        <v>117393</v>
      </c>
      <c r="F483" s="3" t="n">
        <v>3</v>
      </c>
      <c r="G483" s="3" t="n">
        <v>9</v>
      </c>
      <c r="H483" s="3" t="n">
        <v>15</v>
      </c>
      <c r="I483" s="3" t="s">
        <v>13</v>
      </c>
      <c r="J483" s="3" t="s">
        <v>14</v>
      </c>
      <c r="K483" s="3" t="n">
        <v>100</v>
      </c>
    </row>
    <row r="484" customFormat="false" ht="15" hidden="false" customHeight="false" outlineLevel="0" collapsed="false">
      <c r="A484" s="2" t="n">
        <v>483</v>
      </c>
      <c r="B484" s="2" t="n">
        <v>36</v>
      </c>
      <c r="C484" s="2" t="s">
        <v>11</v>
      </c>
      <c r="D484" s="2" t="s">
        <v>22</v>
      </c>
      <c r="E484" s="2" t="n">
        <v>39864</v>
      </c>
      <c r="F484" s="2" t="n">
        <v>6</v>
      </c>
      <c r="G484" s="2" t="n">
        <v>10</v>
      </c>
      <c r="H484" s="2" t="n">
        <v>9</v>
      </c>
      <c r="I484" s="2" t="s">
        <v>21</v>
      </c>
      <c r="J484" s="2" t="s">
        <v>14</v>
      </c>
      <c r="K484" s="2" t="n">
        <v>85.61</v>
      </c>
    </row>
    <row r="485" customFormat="false" ht="15" hidden="false" customHeight="false" outlineLevel="0" collapsed="false">
      <c r="A485" s="3" t="n">
        <v>484</v>
      </c>
      <c r="B485" s="3" t="n">
        <v>45</v>
      </c>
      <c r="C485" s="3" t="s">
        <v>11</v>
      </c>
      <c r="D485" s="3" t="s">
        <v>12</v>
      </c>
      <c r="E485" s="3" t="n">
        <v>93170</v>
      </c>
      <c r="F485" s="3" t="n">
        <v>9</v>
      </c>
      <c r="G485" s="3" t="n">
        <v>4</v>
      </c>
      <c r="H485" s="3" t="n">
        <v>6</v>
      </c>
      <c r="I485" s="3" t="s">
        <v>15</v>
      </c>
      <c r="J485" s="3" t="s">
        <v>16</v>
      </c>
      <c r="K485" s="3" t="n">
        <v>97.55</v>
      </c>
    </row>
    <row r="486" customFormat="false" ht="15" hidden="false" customHeight="false" outlineLevel="0" collapsed="false">
      <c r="A486" s="2" t="n">
        <v>485</v>
      </c>
      <c r="B486" s="2" t="n">
        <v>43</v>
      </c>
      <c r="C486" s="2" t="s">
        <v>11</v>
      </c>
      <c r="D486" s="2" t="s">
        <v>12</v>
      </c>
      <c r="E486" s="2" t="n">
        <v>112109</v>
      </c>
      <c r="F486" s="2" t="n">
        <v>3</v>
      </c>
      <c r="G486" s="2" t="n">
        <v>7</v>
      </c>
      <c r="H486" s="2" t="n">
        <v>14</v>
      </c>
      <c r="I486" s="2" t="s">
        <v>15</v>
      </c>
      <c r="J486" s="2" t="s">
        <v>19</v>
      </c>
      <c r="K486" s="2" t="n">
        <v>100</v>
      </c>
    </row>
    <row r="487" customFormat="false" ht="15" hidden="false" customHeight="false" outlineLevel="0" collapsed="false">
      <c r="A487" s="3" t="n">
        <v>486</v>
      </c>
      <c r="B487" s="3" t="n">
        <v>54</v>
      </c>
      <c r="C487" s="3" t="s">
        <v>17</v>
      </c>
      <c r="D487" s="3" t="s">
        <v>23</v>
      </c>
      <c r="E487" s="3" t="n">
        <v>74765</v>
      </c>
      <c r="F487" s="3" t="n">
        <v>7</v>
      </c>
      <c r="G487" s="3" t="n">
        <v>1</v>
      </c>
      <c r="H487" s="3" t="n">
        <v>20</v>
      </c>
      <c r="I487" s="3" t="s">
        <v>13</v>
      </c>
      <c r="J487" s="3" t="s">
        <v>14</v>
      </c>
      <c r="K487" s="3" t="n">
        <v>81.49</v>
      </c>
    </row>
    <row r="488" customFormat="false" ht="15" hidden="false" customHeight="false" outlineLevel="0" collapsed="false">
      <c r="A488" s="2" t="n">
        <v>487</v>
      </c>
      <c r="B488" s="2" t="n">
        <v>43</v>
      </c>
      <c r="C488" s="2" t="s">
        <v>17</v>
      </c>
      <c r="D488" s="2" t="s">
        <v>23</v>
      </c>
      <c r="E488" s="2" t="n">
        <v>110706</v>
      </c>
      <c r="F488" s="2" t="n">
        <v>2</v>
      </c>
      <c r="G488" s="2" t="n">
        <v>3</v>
      </c>
      <c r="H488" s="2" t="n">
        <v>14</v>
      </c>
      <c r="I488" s="2" t="s">
        <v>15</v>
      </c>
      <c r="J488" s="2" t="s">
        <v>19</v>
      </c>
      <c r="K488" s="2" t="n">
        <v>65.65</v>
      </c>
    </row>
    <row r="489" customFormat="false" ht="15" hidden="false" customHeight="false" outlineLevel="0" collapsed="false">
      <c r="A489" s="3" t="n">
        <v>488</v>
      </c>
      <c r="B489" s="3" t="n">
        <v>40</v>
      </c>
      <c r="C489" s="3" t="s">
        <v>17</v>
      </c>
      <c r="D489" s="3" t="s">
        <v>18</v>
      </c>
      <c r="E489" s="3" t="n">
        <v>109984</v>
      </c>
      <c r="F489" s="3" t="n">
        <v>6</v>
      </c>
      <c r="G489" s="3" t="n">
        <v>8</v>
      </c>
      <c r="H489" s="3" t="n">
        <v>15</v>
      </c>
      <c r="I489" s="3" t="s">
        <v>15</v>
      </c>
      <c r="J489" s="3" t="s">
        <v>19</v>
      </c>
      <c r="K489" s="3" t="n">
        <v>100</v>
      </c>
    </row>
    <row r="490" customFormat="false" ht="15" hidden="false" customHeight="false" outlineLevel="0" collapsed="false">
      <c r="A490" s="2" t="n">
        <v>489</v>
      </c>
      <c r="B490" s="2" t="n">
        <v>26</v>
      </c>
      <c r="C490" s="2" t="s">
        <v>17</v>
      </c>
      <c r="D490" s="2" t="s">
        <v>12</v>
      </c>
      <c r="E490" s="2" t="n">
        <v>65517</v>
      </c>
      <c r="F490" s="2" t="n">
        <v>7</v>
      </c>
      <c r="G490" s="2" t="n">
        <v>8</v>
      </c>
      <c r="H490" s="2" t="n">
        <v>17</v>
      </c>
      <c r="I490" s="2" t="s">
        <v>21</v>
      </c>
      <c r="J490" s="2" t="s">
        <v>14</v>
      </c>
      <c r="K490" s="2" t="n">
        <v>100</v>
      </c>
    </row>
    <row r="491" customFormat="false" ht="15" hidden="false" customHeight="false" outlineLevel="0" collapsed="false">
      <c r="A491" s="3" t="n">
        <v>490</v>
      </c>
      <c r="B491" s="3" t="n">
        <v>29</v>
      </c>
      <c r="C491" s="3" t="s">
        <v>11</v>
      </c>
      <c r="D491" s="3" t="s">
        <v>18</v>
      </c>
      <c r="E491" s="3" t="n">
        <v>32493</v>
      </c>
      <c r="F491" s="3" t="n">
        <v>8</v>
      </c>
      <c r="G491" s="3" t="n">
        <v>4</v>
      </c>
      <c r="H491" s="3" t="n">
        <v>20</v>
      </c>
      <c r="I491" s="3" t="s">
        <v>13</v>
      </c>
      <c r="J491" s="3" t="s">
        <v>16</v>
      </c>
      <c r="K491" s="3" t="n">
        <v>95.16</v>
      </c>
    </row>
    <row r="492" customFormat="false" ht="15" hidden="false" customHeight="false" outlineLevel="0" collapsed="false">
      <c r="A492" s="2" t="n">
        <v>491</v>
      </c>
      <c r="B492" s="2" t="n">
        <v>18</v>
      </c>
      <c r="C492" s="2" t="s">
        <v>11</v>
      </c>
      <c r="D492" s="2" t="s">
        <v>20</v>
      </c>
      <c r="E492" s="2" t="n">
        <v>66539</v>
      </c>
      <c r="F492" s="2" t="n">
        <v>2</v>
      </c>
      <c r="G492" s="2" t="n">
        <v>9</v>
      </c>
      <c r="H492" s="2" t="n">
        <v>8</v>
      </c>
      <c r="I492" s="2" t="s">
        <v>15</v>
      </c>
      <c r="J492" s="2" t="s">
        <v>14</v>
      </c>
      <c r="K492" s="2" t="n">
        <v>85.24</v>
      </c>
    </row>
    <row r="493" customFormat="false" ht="15" hidden="false" customHeight="false" outlineLevel="0" collapsed="false">
      <c r="A493" s="3" t="n">
        <v>492</v>
      </c>
      <c r="B493" s="3" t="n">
        <v>18</v>
      </c>
      <c r="C493" s="3" t="s">
        <v>17</v>
      </c>
      <c r="D493" s="3" t="s">
        <v>18</v>
      </c>
      <c r="E493" s="3" t="n">
        <v>34528</v>
      </c>
      <c r="F493" s="3" t="n">
        <v>1</v>
      </c>
      <c r="G493" s="3" t="n">
        <v>6</v>
      </c>
      <c r="H493" s="3" t="n">
        <v>7</v>
      </c>
      <c r="I493" s="3" t="s">
        <v>21</v>
      </c>
      <c r="J493" s="3" t="s">
        <v>19</v>
      </c>
      <c r="K493" s="3" t="n">
        <v>51.56</v>
      </c>
    </row>
    <row r="494" customFormat="false" ht="15" hidden="false" customHeight="false" outlineLevel="0" collapsed="false">
      <c r="A494" s="2" t="n">
        <v>493</v>
      </c>
      <c r="B494" s="2" t="n">
        <v>64</v>
      </c>
      <c r="C494" s="2" t="s">
        <v>11</v>
      </c>
      <c r="D494" s="2" t="s">
        <v>23</v>
      </c>
      <c r="E494" s="2" t="n">
        <v>84438</v>
      </c>
      <c r="F494" s="2" t="n">
        <v>8</v>
      </c>
      <c r="G494" s="2" t="n">
        <v>9</v>
      </c>
      <c r="H494" s="2" t="n">
        <v>17</v>
      </c>
      <c r="I494" s="2" t="s">
        <v>13</v>
      </c>
      <c r="J494" s="2" t="s">
        <v>16</v>
      </c>
      <c r="K494" s="2" t="n">
        <v>100</v>
      </c>
    </row>
    <row r="495" customFormat="false" ht="15" hidden="false" customHeight="false" outlineLevel="0" collapsed="false">
      <c r="A495" s="3" t="n">
        <v>494</v>
      </c>
      <c r="B495" s="3" t="n">
        <v>51</v>
      </c>
      <c r="C495" s="3" t="s">
        <v>11</v>
      </c>
      <c r="D495" s="3" t="s">
        <v>12</v>
      </c>
      <c r="E495" s="3" t="n">
        <v>30680</v>
      </c>
      <c r="F495" s="3" t="n">
        <v>7</v>
      </c>
      <c r="G495" s="3" t="n">
        <v>3</v>
      </c>
      <c r="H495" s="3" t="n">
        <v>16</v>
      </c>
      <c r="I495" s="3" t="s">
        <v>15</v>
      </c>
      <c r="J495" s="3" t="s">
        <v>14</v>
      </c>
      <c r="K495" s="3" t="n">
        <v>73.15</v>
      </c>
    </row>
    <row r="496" customFormat="false" ht="15" hidden="false" customHeight="false" outlineLevel="0" collapsed="false">
      <c r="A496" s="2" t="n">
        <v>495</v>
      </c>
      <c r="B496" s="2" t="n">
        <v>49</v>
      </c>
      <c r="C496" s="2" t="s">
        <v>17</v>
      </c>
      <c r="D496" s="2" t="s">
        <v>23</v>
      </c>
      <c r="E496" s="2" t="n">
        <v>95841</v>
      </c>
      <c r="F496" s="2" t="n">
        <v>8</v>
      </c>
      <c r="G496" s="2" t="n">
        <v>7</v>
      </c>
      <c r="H496" s="2" t="n">
        <v>3</v>
      </c>
      <c r="I496" s="2" t="s">
        <v>15</v>
      </c>
      <c r="J496" s="2" t="s">
        <v>16</v>
      </c>
      <c r="K496" s="2" t="n">
        <v>100</v>
      </c>
    </row>
    <row r="497" customFormat="false" ht="15" hidden="false" customHeight="false" outlineLevel="0" collapsed="false">
      <c r="A497" s="3" t="n">
        <v>496</v>
      </c>
      <c r="B497" s="3" t="n">
        <v>65</v>
      </c>
      <c r="C497" s="3" t="s">
        <v>17</v>
      </c>
      <c r="D497" s="3" t="s">
        <v>20</v>
      </c>
      <c r="E497" s="3" t="n">
        <v>47377</v>
      </c>
      <c r="F497" s="3" t="n">
        <v>3</v>
      </c>
      <c r="G497" s="3" t="n">
        <v>6</v>
      </c>
      <c r="H497" s="3" t="n">
        <v>18</v>
      </c>
      <c r="I497" s="3" t="s">
        <v>15</v>
      </c>
      <c r="J497" s="3" t="s">
        <v>16</v>
      </c>
      <c r="K497" s="3" t="n">
        <v>85.68</v>
      </c>
    </row>
    <row r="498" customFormat="false" ht="15" hidden="false" customHeight="false" outlineLevel="0" collapsed="false">
      <c r="A498" s="2" t="n">
        <v>497</v>
      </c>
      <c r="B498" s="2" t="n">
        <v>42</v>
      </c>
      <c r="C498" s="2" t="s">
        <v>11</v>
      </c>
      <c r="D498" s="2" t="s">
        <v>22</v>
      </c>
      <c r="E498" s="2" t="n">
        <v>109376</v>
      </c>
      <c r="F498" s="2" t="n">
        <v>7</v>
      </c>
      <c r="G498" s="2" t="n">
        <v>5</v>
      </c>
      <c r="H498" s="2" t="n">
        <v>19</v>
      </c>
      <c r="I498" s="2" t="s">
        <v>21</v>
      </c>
      <c r="J498" s="2" t="s">
        <v>14</v>
      </c>
      <c r="K498" s="2" t="n">
        <v>100</v>
      </c>
    </row>
    <row r="499" customFormat="false" ht="15" hidden="false" customHeight="false" outlineLevel="0" collapsed="false">
      <c r="A499" s="3" t="n">
        <v>498</v>
      </c>
      <c r="B499" s="3" t="n">
        <v>57</v>
      </c>
      <c r="C499" s="3" t="s">
        <v>17</v>
      </c>
      <c r="D499" s="3" t="s">
        <v>12</v>
      </c>
      <c r="E499" s="3" t="n">
        <v>86884</v>
      </c>
      <c r="F499" s="3" t="n">
        <v>7</v>
      </c>
      <c r="G499" s="3" t="n">
        <v>6</v>
      </c>
      <c r="H499" s="3" t="n">
        <v>19</v>
      </c>
      <c r="I499" s="3" t="s">
        <v>21</v>
      </c>
      <c r="J499" s="3" t="s">
        <v>14</v>
      </c>
      <c r="K499" s="3" t="n">
        <v>100</v>
      </c>
    </row>
    <row r="500" customFormat="false" ht="15" hidden="false" customHeight="false" outlineLevel="0" collapsed="false">
      <c r="A500" s="2" t="n">
        <v>499</v>
      </c>
      <c r="B500" s="2" t="n">
        <v>62</v>
      </c>
      <c r="C500" s="2" t="s">
        <v>11</v>
      </c>
      <c r="D500" s="2" t="s">
        <v>23</v>
      </c>
      <c r="E500" s="2" t="n">
        <v>64169</v>
      </c>
      <c r="F500" s="2" t="n">
        <v>4</v>
      </c>
      <c r="G500" s="2" t="n">
        <v>1</v>
      </c>
      <c r="H500" s="2" t="n">
        <v>10</v>
      </c>
      <c r="I500" s="2" t="s">
        <v>21</v>
      </c>
      <c r="J500" s="2" t="s">
        <v>19</v>
      </c>
      <c r="K500" s="2" t="n">
        <v>75.48</v>
      </c>
    </row>
    <row r="501" customFormat="false" ht="15" hidden="false" customHeight="false" outlineLevel="0" collapsed="false">
      <c r="A501" s="3" t="n">
        <v>500</v>
      </c>
      <c r="B501" s="3" t="n">
        <v>18</v>
      </c>
      <c r="C501" s="3" t="s">
        <v>17</v>
      </c>
      <c r="D501" s="3" t="s">
        <v>22</v>
      </c>
      <c r="E501" s="3" t="n">
        <v>94694</v>
      </c>
      <c r="F501" s="3" t="n">
        <v>9</v>
      </c>
      <c r="G501" s="3" t="n">
        <v>8</v>
      </c>
      <c r="H501" s="3" t="n">
        <v>14</v>
      </c>
      <c r="I501" s="3" t="s">
        <v>21</v>
      </c>
      <c r="J501" s="3" t="s">
        <v>14</v>
      </c>
      <c r="K501" s="3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8F77"/>
    <pageSetUpPr fitToPage="false"/>
  </sheetPr>
  <dimension ref="A1:X5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7" min="6" style="0" width="16"/>
    <col collapsed="false" customWidth="true" hidden="false" outlineLevel="0" max="8" min="8" style="0" width="18"/>
    <col collapsed="false" customWidth="true" hidden="false" outlineLevel="0" max="10" min="9" style="0" width="14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5"/>
    <col collapsed="false" customWidth="true" hidden="false" outlineLevel="0" max="15" min="14" style="0" width="20"/>
    <col collapsed="false" customWidth="true" hidden="false" outlineLevel="0" max="16" min="16" style="0" width="18"/>
    <col collapsed="false" customWidth="true" hidden="false" outlineLevel="0" max="17" min="17" style="0" width="20"/>
    <col collapsed="false" customWidth="true" hidden="false" outlineLevel="0" max="19" min="18" style="0" width="18"/>
    <col collapsed="false" customWidth="true" hidden="false" outlineLevel="0" max="21" min="20" style="0" width="22"/>
    <col collapsed="false" customWidth="true" hidden="false" outlineLevel="0" max="22" min="22" style="0" width="18"/>
    <col collapsed="false" customWidth="true" hidden="false" outlineLevel="0" max="23" min="23" style="0" width="12"/>
    <col collapsed="false" customWidth="true" hidden="false" outlineLevel="0" max="24" min="24" style="0" width="20"/>
  </cols>
  <sheetData>
    <row r="1" customFormat="false" ht="27.75" hidden="false" customHeight="true" outlineLevel="0" collapsed="false">
      <c r="A1" s="4" t="s">
        <v>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customFormat="false" ht="31.5" hidden="false" customHeight="true" outlineLevel="0" collapsed="false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6" t="s">
        <v>25</v>
      </c>
      <c r="M2" s="6" t="s">
        <v>26</v>
      </c>
      <c r="N2" s="6" t="s">
        <v>27</v>
      </c>
      <c r="O2" s="6" t="s">
        <v>28</v>
      </c>
      <c r="P2" s="6" t="s">
        <v>29</v>
      </c>
      <c r="Q2" s="6" t="s">
        <v>30</v>
      </c>
      <c r="R2" s="6" t="s">
        <v>31</v>
      </c>
      <c r="S2" s="6" t="s">
        <v>32</v>
      </c>
      <c r="T2" s="6" t="s">
        <v>33</v>
      </c>
      <c r="U2" s="6" t="s">
        <v>34</v>
      </c>
      <c r="V2" s="6" t="s">
        <v>35</v>
      </c>
      <c r="W2" s="6" t="s">
        <v>36</v>
      </c>
      <c r="X2" s="6" t="s">
        <v>37</v>
      </c>
    </row>
    <row r="3" customFormat="false" ht="15" hidden="false" customHeight="false" outlineLevel="0" collapsed="false">
      <c r="A3" s="3" t="n">
        <v>1</v>
      </c>
      <c r="B3" s="3" t="n">
        <v>56</v>
      </c>
      <c r="C3" s="3" t="s">
        <v>11</v>
      </c>
      <c r="D3" s="3" t="s">
        <v>12</v>
      </c>
      <c r="E3" s="3" t="n">
        <v>83094</v>
      </c>
      <c r="F3" s="3" t="n">
        <v>5</v>
      </c>
      <c r="G3" s="3" t="n">
        <v>8</v>
      </c>
      <c r="H3" s="3" t="n">
        <v>5</v>
      </c>
      <c r="I3" s="3" t="s">
        <v>13</v>
      </c>
      <c r="J3" s="3" t="s">
        <v>14</v>
      </c>
      <c r="K3" s="3" t="n">
        <v>100</v>
      </c>
      <c r="L3" s="7" t="str">
        <f aca="false">IF(B3&lt;25,"Gen Z",IF(B3&lt;40,"Millennial",IF(B3&lt;55,"Gen X","Baby Boomer")))</f>
        <v>Baby Boomer</v>
      </c>
      <c r="M3" s="7" t="str">
        <f aca="false">IF(E3&lt;50000,"Low Income",IF(E3&lt;80000,"Middle Income",IF(E3&lt;100000,"Upper Middle","High Income")))</f>
        <v>Upper Middle</v>
      </c>
      <c r="N3" s="7" t="str">
        <f aca="false">IF(F3&lt;=3,"Poor",IF(F3&lt;=6,"Average",IF(F3&lt;=8,"Good","Excellent")))</f>
        <v>Average</v>
      </c>
      <c r="O3" s="7" t="str">
        <f aca="false">IF(G3&lt;=3,"Poor",IF(G3&lt;=6,"Average",IF(G3&lt;=8,"Good","Excellent")))</f>
        <v>Good</v>
      </c>
      <c r="P3" s="7" t="str">
        <f aca="false">IF(H3&lt;=5,"Low Frequency",IF(H3&lt;=10,"Moderate",IF(H3&lt;=15,"High","Very High")))</f>
        <v>Low Frequency</v>
      </c>
      <c r="Q3" s="7" t="str">
        <f aca="false">IF(K3&gt;=90,"Highly Satisfied",IF(K3&gt;=75,"Satisfied",IF(K3&gt;=60,"Neutral","Dissatisfied")))</f>
        <v>Highly Satisfied</v>
      </c>
      <c r="R3" s="7" t="str">
        <f aca="false">UPPER(LEFT(TRIM(J3),1))&amp;LOWER(MID(TRIM(J3),2,100))</f>
        <v>Bronze</v>
      </c>
      <c r="S3" s="7" t="str">
        <f aca="false">IF(I3="High","Positive",IF(I3="Medium","Neutral","Negative"))</f>
        <v>Negative</v>
      </c>
      <c r="T3" s="7" t="str">
        <f aca="false">IF(AND(E3&gt;=80000,H3&gt;=15),"Premium",IF(AND(E3&gt;=50000,H3&gt;=10),"Standard","Basic"))</f>
        <v>Basic</v>
      </c>
      <c r="U3" s="7" t="str">
        <f aca="false">IF(AND(F3&gt;=7,G3&gt;=7),"High Quality Experience","Review Needed")</f>
        <v>Review Needed</v>
      </c>
      <c r="V3" s="7" t="str">
        <f aca="false">IF(H3&gt;=10,"Repeat Buyer","Occasional Buyer")</f>
        <v>Occasional Buyer</v>
      </c>
      <c r="W3" s="7" t="str">
        <f aca="false">IF(AND(K3&lt;70,I3="Low"),"At Risk","Stable")</f>
        <v>Stable</v>
      </c>
      <c r="X3" s="7" t="str">
        <f aca="false">IF(AND(K3&lt;75,I3="Low",J3="Bronze"),"Priority Followup","No Action")</f>
        <v>No Action</v>
      </c>
    </row>
    <row r="4" customFormat="false" ht="15" hidden="false" customHeight="false" outlineLevel="0" collapsed="false">
      <c r="A4" s="2" t="n">
        <v>2</v>
      </c>
      <c r="B4" s="2" t="n">
        <v>69</v>
      </c>
      <c r="C4" s="2" t="s">
        <v>11</v>
      </c>
      <c r="D4" s="2" t="s">
        <v>12</v>
      </c>
      <c r="E4" s="2" t="n">
        <v>86860</v>
      </c>
      <c r="F4" s="2" t="n">
        <v>10</v>
      </c>
      <c r="G4" s="2" t="n">
        <v>2</v>
      </c>
      <c r="H4" s="2" t="n">
        <v>8</v>
      </c>
      <c r="I4" s="2" t="s">
        <v>15</v>
      </c>
      <c r="J4" s="2" t="s">
        <v>16</v>
      </c>
      <c r="K4" s="2" t="n">
        <v>100</v>
      </c>
      <c r="L4" s="8" t="str">
        <f aca="false">IF(B4&lt;25,"Gen Z",IF(B4&lt;40,"Millennial",IF(B4&lt;55,"Gen X","Baby Boomer")))</f>
        <v>Baby Boomer</v>
      </c>
      <c r="M4" s="8" t="str">
        <f aca="false">IF(E4&lt;50000,"Low Income",IF(E4&lt;80000,"Middle Income",IF(E4&lt;100000,"Upper Middle","High Income")))</f>
        <v>Upper Middle</v>
      </c>
      <c r="N4" s="8" t="str">
        <f aca="false">IF(F4&lt;=3,"Poor",IF(F4&lt;=6,"Average",IF(F4&lt;=8,"Good","Excellent")))</f>
        <v>Excellent</v>
      </c>
      <c r="O4" s="8" t="str">
        <f aca="false">IF(G4&lt;=3,"Poor",IF(G4&lt;=6,"Average",IF(G4&lt;=8,"Good","Excellent")))</f>
        <v>Poor</v>
      </c>
      <c r="P4" s="8" t="str">
        <f aca="false">IF(H4&lt;=5,"Low Frequency",IF(H4&lt;=10,"Moderate",IF(H4&lt;=15,"High","Very High")))</f>
        <v>Moderate</v>
      </c>
      <c r="Q4" s="8" t="str">
        <f aca="false">IF(K4&gt;=90,"Highly Satisfied",IF(K4&gt;=75,"Satisfied",IF(K4&gt;=60,"Neutral","Dissatisfied")))</f>
        <v>Highly Satisfied</v>
      </c>
      <c r="R4" s="8" t="str">
        <f aca="false">UPPER(LEFT(TRIM(J4),1))&amp;LOWER(MID(TRIM(J4),2,100))</f>
        <v>Gold</v>
      </c>
      <c r="S4" s="8" t="str">
        <f aca="false">IF(I4="High","Positive",IF(I4="Medium","Neutral","Negative"))</f>
        <v>Neutral</v>
      </c>
      <c r="T4" s="8" t="str">
        <f aca="false">IF(AND(E4&gt;=80000,H4&gt;=15),"Premium",IF(AND(E4&gt;=50000,H4&gt;=10),"Standard","Basic"))</f>
        <v>Basic</v>
      </c>
      <c r="U4" s="8" t="str">
        <f aca="false">IF(AND(F4&gt;=7,G4&gt;=7),"High Quality Experience","Review Needed")</f>
        <v>Review Needed</v>
      </c>
      <c r="V4" s="8" t="str">
        <f aca="false">IF(H4&gt;=10,"Repeat Buyer","Occasional Buyer")</f>
        <v>Occasional Buyer</v>
      </c>
      <c r="W4" s="8" t="str">
        <f aca="false">IF(AND(K4&lt;70,I4="Low"),"At Risk","Stable")</f>
        <v>Stable</v>
      </c>
      <c r="X4" s="8" t="str">
        <f aca="false">IF(AND(K4&lt;75,I4="Low",J4="Bronze"),"Priority Followup","No Action")</f>
        <v>No Action</v>
      </c>
    </row>
    <row r="5" customFormat="false" ht="15" hidden="false" customHeight="false" outlineLevel="0" collapsed="false">
      <c r="A5" s="3" t="n">
        <v>3</v>
      </c>
      <c r="B5" s="3" t="n">
        <v>46</v>
      </c>
      <c r="C5" s="3" t="s">
        <v>17</v>
      </c>
      <c r="D5" s="3" t="s">
        <v>18</v>
      </c>
      <c r="E5" s="3" t="n">
        <v>60173</v>
      </c>
      <c r="F5" s="3" t="n">
        <v>8</v>
      </c>
      <c r="G5" s="3" t="n">
        <v>10</v>
      </c>
      <c r="H5" s="3" t="n">
        <v>18</v>
      </c>
      <c r="I5" s="3" t="s">
        <v>15</v>
      </c>
      <c r="J5" s="3" t="s">
        <v>19</v>
      </c>
      <c r="K5" s="3" t="n">
        <v>100</v>
      </c>
      <c r="L5" s="7" t="str">
        <f aca="false">IF(B5&lt;25,"Gen Z",IF(B5&lt;40,"Millennial",IF(B5&lt;55,"Gen X","Baby Boomer")))</f>
        <v>Gen X</v>
      </c>
      <c r="M5" s="7" t="str">
        <f aca="false">IF(E5&lt;50000,"Low Income",IF(E5&lt;80000,"Middle Income",IF(E5&lt;100000,"Upper Middle","High Income")))</f>
        <v>Middle Income</v>
      </c>
      <c r="N5" s="7" t="str">
        <f aca="false">IF(F5&lt;=3,"Poor",IF(F5&lt;=6,"Average",IF(F5&lt;=8,"Good","Excellent")))</f>
        <v>Good</v>
      </c>
      <c r="O5" s="7" t="str">
        <f aca="false">IF(G5&lt;=3,"Poor",IF(G5&lt;=6,"Average",IF(G5&lt;=8,"Good","Excellent")))</f>
        <v>Excellent</v>
      </c>
      <c r="P5" s="7" t="str">
        <f aca="false">IF(H5&lt;=5,"Low Frequency",IF(H5&lt;=10,"Moderate",IF(H5&lt;=15,"High","Very High")))</f>
        <v>Very High</v>
      </c>
      <c r="Q5" s="7" t="str">
        <f aca="false">IF(K5&gt;=90,"Highly Satisfied",IF(K5&gt;=75,"Satisfied",IF(K5&gt;=60,"Neutral","Dissatisfied")))</f>
        <v>Highly Satisfied</v>
      </c>
      <c r="R5" s="7" t="str">
        <f aca="false">UPPER(LEFT(TRIM(J5),1))&amp;LOWER(MID(TRIM(J5),2,100))</f>
        <v>Silver</v>
      </c>
      <c r="S5" s="7" t="str">
        <f aca="false">IF(I5="High","Positive",IF(I5="Medium","Neutral","Negative"))</f>
        <v>Neutral</v>
      </c>
      <c r="T5" s="7" t="str">
        <f aca="false">IF(AND(E5&gt;=80000,H5&gt;=15),"Premium",IF(AND(E5&gt;=50000,H5&gt;=10),"Standard","Basic"))</f>
        <v>Standard</v>
      </c>
      <c r="U5" s="7" t="str">
        <f aca="false">IF(AND(F5&gt;=7,G5&gt;=7),"High Quality Experience","Review Needed")</f>
        <v>High Quality Experience</v>
      </c>
      <c r="V5" s="7" t="str">
        <f aca="false">IF(H5&gt;=10,"Repeat Buyer","Occasional Buyer")</f>
        <v>Repeat Buyer</v>
      </c>
      <c r="W5" s="7" t="str">
        <f aca="false">IF(AND(K5&lt;70,I5="Low"),"At Risk","Stable")</f>
        <v>Stable</v>
      </c>
      <c r="X5" s="7" t="str">
        <f aca="false">IF(AND(K5&lt;75,I5="Low",J5="Bronze"),"Priority Followup","No Action")</f>
        <v>No Action</v>
      </c>
    </row>
    <row r="6" customFormat="false" ht="15" hidden="false" customHeight="false" outlineLevel="0" collapsed="false">
      <c r="A6" s="2" t="n">
        <v>4</v>
      </c>
      <c r="B6" s="2" t="n">
        <v>32</v>
      </c>
      <c r="C6" s="2" t="s">
        <v>17</v>
      </c>
      <c r="D6" s="2" t="s">
        <v>12</v>
      </c>
      <c r="E6" s="2" t="n">
        <v>73884</v>
      </c>
      <c r="F6" s="2" t="n">
        <v>7</v>
      </c>
      <c r="G6" s="2" t="n">
        <v>10</v>
      </c>
      <c r="H6" s="2" t="n">
        <v>16</v>
      </c>
      <c r="I6" s="2" t="s">
        <v>13</v>
      </c>
      <c r="J6" s="2" t="s">
        <v>16</v>
      </c>
      <c r="K6" s="2" t="n">
        <v>100</v>
      </c>
      <c r="L6" s="8" t="str">
        <f aca="false">IF(B6&lt;25,"Gen Z",IF(B6&lt;40,"Millennial",IF(B6&lt;55,"Gen X","Baby Boomer")))</f>
        <v>Millennial</v>
      </c>
      <c r="M6" s="8" t="str">
        <f aca="false">IF(E6&lt;50000,"Low Income",IF(E6&lt;80000,"Middle Income",IF(E6&lt;100000,"Upper Middle","High Income")))</f>
        <v>Middle Income</v>
      </c>
      <c r="N6" s="8" t="str">
        <f aca="false">IF(F6&lt;=3,"Poor",IF(F6&lt;=6,"Average",IF(F6&lt;=8,"Good","Excellent")))</f>
        <v>Good</v>
      </c>
      <c r="O6" s="8" t="str">
        <f aca="false">IF(G6&lt;=3,"Poor",IF(G6&lt;=6,"Average",IF(G6&lt;=8,"Good","Excellent")))</f>
        <v>Excellent</v>
      </c>
      <c r="P6" s="8" t="str">
        <f aca="false">IF(H6&lt;=5,"Low Frequency",IF(H6&lt;=10,"Moderate",IF(H6&lt;=15,"High","Very High")))</f>
        <v>Very High</v>
      </c>
      <c r="Q6" s="8" t="str">
        <f aca="false">IF(K6&gt;=90,"Highly Satisfied",IF(K6&gt;=75,"Satisfied",IF(K6&gt;=60,"Neutral","Dissatisfied")))</f>
        <v>Highly Satisfied</v>
      </c>
      <c r="R6" s="8" t="str">
        <f aca="false">UPPER(LEFT(TRIM(J6),1))&amp;LOWER(MID(TRIM(J6),2,100))</f>
        <v>Gold</v>
      </c>
      <c r="S6" s="8" t="str">
        <f aca="false">IF(I6="High","Positive",IF(I6="Medium","Neutral","Negative"))</f>
        <v>Negative</v>
      </c>
      <c r="T6" s="8" t="str">
        <f aca="false">IF(AND(E6&gt;=80000,H6&gt;=15),"Premium",IF(AND(E6&gt;=50000,H6&gt;=10),"Standard","Basic"))</f>
        <v>Standard</v>
      </c>
      <c r="U6" s="8" t="str">
        <f aca="false">IF(AND(F6&gt;=7,G6&gt;=7),"High Quality Experience","Review Needed")</f>
        <v>High Quality Experience</v>
      </c>
      <c r="V6" s="8" t="str">
        <f aca="false">IF(H6&gt;=10,"Repeat Buyer","Occasional Buyer")</f>
        <v>Repeat Buyer</v>
      </c>
      <c r="W6" s="8" t="str">
        <f aca="false">IF(AND(K6&lt;70,I6="Low"),"At Risk","Stable")</f>
        <v>Stable</v>
      </c>
      <c r="X6" s="8" t="str">
        <f aca="false">IF(AND(K6&lt;75,I6="Low",J6="Bronze"),"Priority Followup","No Action")</f>
        <v>No Action</v>
      </c>
    </row>
    <row r="7" customFormat="false" ht="15" hidden="false" customHeight="false" outlineLevel="0" collapsed="false">
      <c r="A7" s="3" t="n">
        <v>5</v>
      </c>
      <c r="B7" s="3" t="n">
        <v>60</v>
      </c>
      <c r="C7" s="3" t="s">
        <v>11</v>
      </c>
      <c r="D7" s="3" t="s">
        <v>12</v>
      </c>
      <c r="E7" s="3" t="n">
        <v>97546</v>
      </c>
      <c r="F7" s="3" t="n">
        <v>6</v>
      </c>
      <c r="G7" s="3" t="n">
        <v>4</v>
      </c>
      <c r="H7" s="3" t="n">
        <v>13</v>
      </c>
      <c r="I7" s="3" t="s">
        <v>13</v>
      </c>
      <c r="J7" s="3" t="s">
        <v>14</v>
      </c>
      <c r="K7" s="3" t="n">
        <v>82</v>
      </c>
      <c r="L7" s="7" t="str">
        <f aca="false">IF(B7&lt;25,"Gen Z",IF(B7&lt;40,"Millennial",IF(B7&lt;55,"Gen X","Baby Boomer")))</f>
        <v>Baby Boomer</v>
      </c>
      <c r="M7" s="7" t="str">
        <f aca="false">IF(E7&lt;50000,"Low Income",IF(E7&lt;80000,"Middle Income",IF(E7&lt;100000,"Upper Middle","High Income")))</f>
        <v>Upper Middle</v>
      </c>
      <c r="N7" s="7" t="str">
        <f aca="false">IF(F7&lt;=3,"Poor",IF(F7&lt;=6,"Average",IF(F7&lt;=8,"Good","Excellent")))</f>
        <v>Average</v>
      </c>
      <c r="O7" s="7" t="str">
        <f aca="false">IF(G7&lt;=3,"Poor",IF(G7&lt;=6,"Average",IF(G7&lt;=8,"Good","Excellent")))</f>
        <v>Average</v>
      </c>
      <c r="P7" s="7" t="str">
        <f aca="false">IF(H7&lt;=5,"Low Frequency",IF(H7&lt;=10,"Moderate",IF(H7&lt;=15,"High","Very High")))</f>
        <v>High</v>
      </c>
      <c r="Q7" s="7" t="str">
        <f aca="false">IF(K7&gt;=90,"Highly Satisfied",IF(K7&gt;=75,"Satisfied",IF(K7&gt;=60,"Neutral","Dissatisfied")))</f>
        <v>Satisfied</v>
      </c>
      <c r="R7" s="7" t="str">
        <f aca="false">UPPER(LEFT(TRIM(J7),1))&amp;LOWER(MID(TRIM(J7),2,100))</f>
        <v>Bronze</v>
      </c>
      <c r="S7" s="7" t="str">
        <f aca="false">IF(I7="High","Positive",IF(I7="Medium","Neutral","Negative"))</f>
        <v>Negative</v>
      </c>
      <c r="T7" s="7" t="str">
        <f aca="false">IF(AND(E7&gt;=80000,H7&gt;=15),"Premium",IF(AND(E7&gt;=50000,H7&gt;=10),"Standard","Basic"))</f>
        <v>Standard</v>
      </c>
      <c r="U7" s="7" t="str">
        <f aca="false">IF(AND(F7&gt;=7,G7&gt;=7),"High Quality Experience","Review Needed")</f>
        <v>Review Needed</v>
      </c>
      <c r="V7" s="7" t="str">
        <f aca="false">IF(H7&gt;=10,"Repeat Buyer","Occasional Buyer")</f>
        <v>Repeat Buyer</v>
      </c>
      <c r="W7" s="7" t="str">
        <f aca="false">IF(AND(K7&lt;70,I7="Low"),"At Risk","Stable")</f>
        <v>Stable</v>
      </c>
      <c r="X7" s="7" t="str">
        <f aca="false">IF(AND(K7&lt;75,I7="Low",J7="Bronze"),"Priority Followup","No Action")</f>
        <v>No Action</v>
      </c>
    </row>
    <row r="8" customFormat="false" ht="15" hidden="false" customHeight="false" outlineLevel="0" collapsed="false">
      <c r="A8" s="2" t="n">
        <v>6</v>
      </c>
      <c r="B8" s="2" t="n">
        <v>25</v>
      </c>
      <c r="C8" s="2" t="s">
        <v>11</v>
      </c>
      <c r="D8" s="2" t="s">
        <v>20</v>
      </c>
      <c r="E8" s="2" t="n">
        <v>49364</v>
      </c>
      <c r="F8" s="2" t="n">
        <v>5</v>
      </c>
      <c r="G8" s="2" t="n">
        <v>7</v>
      </c>
      <c r="H8" s="2" t="n">
        <v>19</v>
      </c>
      <c r="I8" s="2" t="s">
        <v>21</v>
      </c>
      <c r="J8" s="2" t="s">
        <v>19</v>
      </c>
      <c r="K8" s="2" t="n">
        <v>80.71</v>
      </c>
      <c r="L8" s="8" t="str">
        <f aca="false">IF(B8&lt;25,"Gen Z",IF(B8&lt;40,"Millennial",IF(B8&lt;55,"Gen X","Baby Boomer")))</f>
        <v>Millennial</v>
      </c>
      <c r="M8" s="8" t="str">
        <f aca="false">IF(E8&lt;50000,"Low Income",IF(E8&lt;80000,"Middle Income",IF(E8&lt;100000,"Upper Middle","High Income")))</f>
        <v>Low Income</v>
      </c>
      <c r="N8" s="8" t="str">
        <f aca="false">IF(F8&lt;=3,"Poor",IF(F8&lt;=6,"Average",IF(F8&lt;=8,"Good","Excellent")))</f>
        <v>Average</v>
      </c>
      <c r="O8" s="8" t="str">
        <f aca="false">IF(G8&lt;=3,"Poor",IF(G8&lt;=6,"Average",IF(G8&lt;=8,"Good","Excellent")))</f>
        <v>Good</v>
      </c>
      <c r="P8" s="8" t="str">
        <f aca="false">IF(H8&lt;=5,"Low Frequency",IF(H8&lt;=10,"Moderate",IF(H8&lt;=15,"High","Very High")))</f>
        <v>Very High</v>
      </c>
      <c r="Q8" s="8" t="str">
        <f aca="false">IF(K8&gt;=90,"Highly Satisfied",IF(K8&gt;=75,"Satisfied",IF(K8&gt;=60,"Neutral","Dissatisfied")))</f>
        <v>Satisfied</v>
      </c>
      <c r="R8" s="8" t="str">
        <f aca="false">UPPER(LEFT(TRIM(J8),1))&amp;LOWER(MID(TRIM(J8),2,100))</f>
        <v>Silver</v>
      </c>
      <c r="S8" s="8" t="str">
        <f aca="false">IF(I8="High","Positive",IF(I8="Medium","Neutral","Negative"))</f>
        <v>Positive</v>
      </c>
      <c r="T8" s="8" t="str">
        <f aca="false">IF(AND(E8&gt;=80000,H8&gt;=15),"Premium",IF(AND(E8&gt;=50000,H8&gt;=10),"Standard","Basic"))</f>
        <v>Basic</v>
      </c>
      <c r="U8" s="8" t="str">
        <f aca="false">IF(AND(F8&gt;=7,G8&gt;=7),"High Quality Experience","Review Needed")</f>
        <v>Review Needed</v>
      </c>
      <c r="V8" s="8" t="str">
        <f aca="false">IF(H8&gt;=10,"Repeat Buyer","Occasional Buyer")</f>
        <v>Repeat Buyer</v>
      </c>
      <c r="W8" s="8" t="str">
        <f aca="false">IF(AND(K8&lt;70,I8="Low"),"At Risk","Stable")</f>
        <v>Stable</v>
      </c>
      <c r="X8" s="8" t="str">
        <f aca="false">IF(AND(K8&lt;75,I8="Low",J8="Bronze"),"Priority Followup","No Action")</f>
        <v>No Action</v>
      </c>
    </row>
    <row r="9" customFormat="false" ht="15" hidden="false" customHeight="false" outlineLevel="0" collapsed="false">
      <c r="A9" s="3" t="n">
        <v>7</v>
      </c>
      <c r="B9" s="3" t="n">
        <v>38</v>
      </c>
      <c r="C9" s="3" t="s">
        <v>17</v>
      </c>
      <c r="D9" s="3" t="s">
        <v>22</v>
      </c>
      <c r="E9" s="3" t="n">
        <v>39716</v>
      </c>
      <c r="F9" s="3" t="n">
        <v>10</v>
      </c>
      <c r="G9" s="3" t="n">
        <v>6</v>
      </c>
      <c r="H9" s="3" t="n">
        <v>11</v>
      </c>
      <c r="I9" s="3" t="s">
        <v>21</v>
      </c>
      <c r="J9" s="3" t="s">
        <v>19</v>
      </c>
      <c r="K9" s="3" t="n">
        <v>100</v>
      </c>
      <c r="L9" s="7" t="str">
        <f aca="false">IF(B9&lt;25,"Gen Z",IF(B9&lt;40,"Millennial",IF(B9&lt;55,"Gen X","Baby Boomer")))</f>
        <v>Millennial</v>
      </c>
      <c r="M9" s="7" t="str">
        <f aca="false">IF(E9&lt;50000,"Low Income",IF(E9&lt;80000,"Middle Income",IF(E9&lt;100000,"Upper Middle","High Income")))</f>
        <v>Low Income</v>
      </c>
      <c r="N9" s="7" t="str">
        <f aca="false">IF(F9&lt;=3,"Poor",IF(F9&lt;=6,"Average",IF(F9&lt;=8,"Good","Excellent")))</f>
        <v>Excellent</v>
      </c>
      <c r="O9" s="7" t="str">
        <f aca="false">IF(G9&lt;=3,"Poor",IF(G9&lt;=6,"Average",IF(G9&lt;=8,"Good","Excellent")))</f>
        <v>Average</v>
      </c>
      <c r="P9" s="7" t="str">
        <f aca="false">IF(H9&lt;=5,"Low Frequency",IF(H9&lt;=10,"Moderate",IF(H9&lt;=15,"High","Very High")))</f>
        <v>High</v>
      </c>
      <c r="Q9" s="7" t="str">
        <f aca="false">IF(K9&gt;=90,"Highly Satisfied",IF(K9&gt;=75,"Satisfied",IF(K9&gt;=60,"Neutral","Dissatisfied")))</f>
        <v>Highly Satisfied</v>
      </c>
      <c r="R9" s="7" t="str">
        <f aca="false">UPPER(LEFT(TRIM(J9),1))&amp;LOWER(MID(TRIM(J9),2,100))</f>
        <v>Silver</v>
      </c>
      <c r="S9" s="7" t="str">
        <f aca="false">IF(I9="High","Positive",IF(I9="Medium","Neutral","Negative"))</f>
        <v>Positive</v>
      </c>
      <c r="T9" s="7" t="str">
        <f aca="false">IF(AND(E9&gt;=80000,H9&gt;=15),"Premium",IF(AND(E9&gt;=50000,H9&gt;=10),"Standard","Basic"))</f>
        <v>Basic</v>
      </c>
      <c r="U9" s="7" t="str">
        <f aca="false">IF(AND(F9&gt;=7,G9&gt;=7),"High Quality Experience","Review Needed")</f>
        <v>Review Needed</v>
      </c>
      <c r="V9" s="7" t="str">
        <f aca="false">IF(H9&gt;=10,"Repeat Buyer","Occasional Buyer")</f>
        <v>Repeat Buyer</v>
      </c>
      <c r="W9" s="7" t="str">
        <f aca="false">IF(AND(K9&lt;70,I9="Low"),"At Risk","Stable")</f>
        <v>Stable</v>
      </c>
      <c r="X9" s="7" t="str">
        <f aca="false">IF(AND(K9&lt;75,I9="Low",J9="Bronze"),"Priority Followup","No Action")</f>
        <v>No Action</v>
      </c>
    </row>
    <row r="10" customFormat="false" ht="15" hidden="false" customHeight="false" outlineLevel="0" collapsed="false">
      <c r="A10" s="2" t="n">
        <v>8</v>
      </c>
      <c r="B10" s="2" t="n">
        <v>56</v>
      </c>
      <c r="C10" s="2" t="s">
        <v>17</v>
      </c>
      <c r="D10" s="2" t="s">
        <v>22</v>
      </c>
      <c r="E10" s="2" t="n">
        <v>45305</v>
      </c>
      <c r="F10" s="2" t="n">
        <v>10</v>
      </c>
      <c r="G10" s="2" t="n">
        <v>10</v>
      </c>
      <c r="H10" s="2" t="n">
        <v>10</v>
      </c>
      <c r="I10" s="2" t="s">
        <v>15</v>
      </c>
      <c r="J10" s="2" t="s">
        <v>16</v>
      </c>
      <c r="K10" s="2" t="n">
        <v>100</v>
      </c>
      <c r="L10" s="8" t="str">
        <f aca="false">IF(B10&lt;25,"Gen Z",IF(B10&lt;40,"Millennial",IF(B10&lt;55,"Gen X","Baby Boomer")))</f>
        <v>Baby Boomer</v>
      </c>
      <c r="M10" s="8" t="str">
        <f aca="false">IF(E10&lt;50000,"Low Income",IF(E10&lt;80000,"Middle Income",IF(E10&lt;100000,"Upper Middle","High Income")))</f>
        <v>Low Income</v>
      </c>
      <c r="N10" s="8" t="str">
        <f aca="false">IF(F10&lt;=3,"Poor",IF(F10&lt;=6,"Average",IF(F10&lt;=8,"Good","Excellent")))</f>
        <v>Excellent</v>
      </c>
      <c r="O10" s="8" t="str">
        <f aca="false">IF(G10&lt;=3,"Poor",IF(G10&lt;=6,"Average",IF(G10&lt;=8,"Good","Excellent")))</f>
        <v>Excellent</v>
      </c>
      <c r="P10" s="8" t="str">
        <f aca="false">IF(H10&lt;=5,"Low Frequency",IF(H10&lt;=10,"Moderate",IF(H10&lt;=15,"High","Very High")))</f>
        <v>Moderate</v>
      </c>
      <c r="Q10" s="8" t="str">
        <f aca="false">IF(K10&gt;=90,"Highly Satisfied",IF(K10&gt;=75,"Satisfied",IF(K10&gt;=60,"Neutral","Dissatisfied")))</f>
        <v>Highly Satisfied</v>
      </c>
      <c r="R10" s="8" t="str">
        <f aca="false">UPPER(LEFT(TRIM(J10),1))&amp;LOWER(MID(TRIM(J10),2,100))</f>
        <v>Gold</v>
      </c>
      <c r="S10" s="8" t="str">
        <f aca="false">IF(I10="High","Positive",IF(I10="Medium","Neutral","Negative"))</f>
        <v>Neutral</v>
      </c>
      <c r="T10" s="8" t="str">
        <f aca="false">IF(AND(E10&gt;=80000,H10&gt;=15),"Premium",IF(AND(E10&gt;=50000,H10&gt;=10),"Standard","Basic"))</f>
        <v>Basic</v>
      </c>
      <c r="U10" s="8" t="str">
        <f aca="false">IF(AND(F10&gt;=7,G10&gt;=7),"High Quality Experience","Review Needed")</f>
        <v>High Quality Experience</v>
      </c>
      <c r="V10" s="8" t="str">
        <f aca="false">IF(H10&gt;=10,"Repeat Buyer","Occasional Buyer")</f>
        <v>Repeat Buyer</v>
      </c>
      <c r="W10" s="8" t="str">
        <f aca="false">IF(AND(K10&lt;70,I10="Low"),"At Risk","Stable")</f>
        <v>Stable</v>
      </c>
      <c r="X10" s="8" t="str">
        <f aca="false">IF(AND(K10&lt;75,I10="Low",J10="Bronze"),"Priority Followup","No Action")</f>
        <v>No Action</v>
      </c>
    </row>
    <row r="11" customFormat="false" ht="15" hidden="false" customHeight="false" outlineLevel="0" collapsed="false">
      <c r="A11" s="3" t="n">
        <v>9</v>
      </c>
      <c r="B11" s="3" t="n">
        <v>36</v>
      </c>
      <c r="C11" s="3" t="s">
        <v>11</v>
      </c>
      <c r="D11" s="3" t="s">
        <v>20</v>
      </c>
      <c r="E11" s="3" t="n">
        <v>98001</v>
      </c>
      <c r="F11" s="3" t="n">
        <v>10</v>
      </c>
      <c r="G11" s="3" t="n">
        <v>2</v>
      </c>
      <c r="H11" s="3" t="n">
        <v>12</v>
      </c>
      <c r="I11" s="3" t="s">
        <v>21</v>
      </c>
      <c r="J11" s="3" t="s">
        <v>14</v>
      </c>
      <c r="K11" s="3" t="n">
        <v>100</v>
      </c>
      <c r="L11" s="7" t="str">
        <f aca="false">IF(B11&lt;25,"Gen Z",IF(B11&lt;40,"Millennial",IF(B11&lt;55,"Gen X","Baby Boomer")))</f>
        <v>Millennial</v>
      </c>
      <c r="M11" s="7" t="str">
        <f aca="false">IF(E11&lt;50000,"Low Income",IF(E11&lt;80000,"Middle Income",IF(E11&lt;100000,"Upper Middle","High Income")))</f>
        <v>Upper Middle</v>
      </c>
      <c r="N11" s="7" t="str">
        <f aca="false">IF(F11&lt;=3,"Poor",IF(F11&lt;=6,"Average",IF(F11&lt;=8,"Good","Excellent")))</f>
        <v>Excellent</v>
      </c>
      <c r="O11" s="7" t="str">
        <f aca="false">IF(G11&lt;=3,"Poor",IF(G11&lt;=6,"Average",IF(G11&lt;=8,"Good","Excellent")))</f>
        <v>Poor</v>
      </c>
      <c r="P11" s="7" t="str">
        <f aca="false">IF(H11&lt;=5,"Low Frequency",IF(H11&lt;=10,"Moderate",IF(H11&lt;=15,"High","Very High")))</f>
        <v>High</v>
      </c>
      <c r="Q11" s="7" t="str">
        <f aca="false">IF(K11&gt;=90,"Highly Satisfied",IF(K11&gt;=75,"Satisfied",IF(K11&gt;=60,"Neutral","Dissatisfied")))</f>
        <v>Highly Satisfied</v>
      </c>
      <c r="R11" s="7" t="str">
        <f aca="false">UPPER(LEFT(TRIM(J11),1))&amp;LOWER(MID(TRIM(J11),2,100))</f>
        <v>Bronze</v>
      </c>
      <c r="S11" s="7" t="str">
        <f aca="false">IF(I11="High","Positive",IF(I11="Medium","Neutral","Negative"))</f>
        <v>Positive</v>
      </c>
      <c r="T11" s="7" t="str">
        <f aca="false">IF(AND(E11&gt;=80000,H11&gt;=15),"Premium",IF(AND(E11&gt;=50000,H11&gt;=10),"Standard","Basic"))</f>
        <v>Standard</v>
      </c>
      <c r="U11" s="7" t="str">
        <f aca="false">IF(AND(F11&gt;=7,G11&gt;=7),"High Quality Experience","Review Needed")</f>
        <v>Review Needed</v>
      </c>
      <c r="V11" s="7" t="str">
        <f aca="false">IF(H11&gt;=10,"Repeat Buyer","Occasional Buyer")</f>
        <v>Repeat Buyer</v>
      </c>
      <c r="W11" s="7" t="str">
        <f aca="false">IF(AND(K11&lt;70,I11="Low"),"At Risk","Stable")</f>
        <v>Stable</v>
      </c>
      <c r="X11" s="7" t="str">
        <f aca="false">IF(AND(K11&lt;75,I11="Low",J11="Bronze"),"Priority Followup","No Action")</f>
        <v>No Action</v>
      </c>
    </row>
    <row r="12" customFormat="false" ht="15" hidden="false" customHeight="false" outlineLevel="0" collapsed="false">
      <c r="A12" s="2" t="n">
        <v>10</v>
      </c>
      <c r="B12" s="2" t="n">
        <v>40</v>
      </c>
      <c r="C12" s="2" t="s">
        <v>17</v>
      </c>
      <c r="D12" s="2" t="s">
        <v>12</v>
      </c>
      <c r="E12" s="2" t="n">
        <v>85307</v>
      </c>
      <c r="F12" s="2" t="n">
        <v>6</v>
      </c>
      <c r="G12" s="2" t="n">
        <v>4</v>
      </c>
      <c r="H12" s="2" t="n">
        <v>20</v>
      </c>
      <c r="I12" s="2" t="s">
        <v>21</v>
      </c>
      <c r="J12" s="2" t="s">
        <v>16</v>
      </c>
      <c r="K12" s="2" t="n">
        <v>86.48</v>
      </c>
      <c r="L12" s="8" t="str">
        <f aca="false">IF(B12&lt;25,"Gen Z",IF(B12&lt;40,"Millennial",IF(B12&lt;55,"Gen X","Baby Boomer")))</f>
        <v>Gen X</v>
      </c>
      <c r="M12" s="8" t="str">
        <f aca="false">IF(E12&lt;50000,"Low Income",IF(E12&lt;80000,"Middle Income",IF(E12&lt;100000,"Upper Middle","High Income")))</f>
        <v>Upper Middle</v>
      </c>
      <c r="N12" s="8" t="str">
        <f aca="false">IF(F12&lt;=3,"Poor",IF(F12&lt;=6,"Average",IF(F12&lt;=8,"Good","Excellent")))</f>
        <v>Average</v>
      </c>
      <c r="O12" s="8" t="str">
        <f aca="false">IF(G12&lt;=3,"Poor",IF(G12&lt;=6,"Average",IF(G12&lt;=8,"Good","Excellent")))</f>
        <v>Average</v>
      </c>
      <c r="P12" s="8" t="str">
        <f aca="false">IF(H12&lt;=5,"Low Frequency",IF(H12&lt;=10,"Moderate",IF(H12&lt;=15,"High","Very High")))</f>
        <v>Very High</v>
      </c>
      <c r="Q12" s="8" t="str">
        <f aca="false">IF(K12&gt;=90,"Highly Satisfied",IF(K12&gt;=75,"Satisfied",IF(K12&gt;=60,"Neutral","Dissatisfied")))</f>
        <v>Satisfied</v>
      </c>
      <c r="R12" s="8" t="str">
        <f aca="false">UPPER(LEFT(TRIM(J12),1))&amp;LOWER(MID(TRIM(J12),2,100))</f>
        <v>Gold</v>
      </c>
      <c r="S12" s="8" t="str">
        <f aca="false">IF(I12="High","Positive",IF(I12="Medium","Neutral","Negative"))</f>
        <v>Positive</v>
      </c>
      <c r="T12" s="8" t="str">
        <f aca="false">IF(AND(E12&gt;=80000,H12&gt;=15),"Premium",IF(AND(E12&gt;=50000,H12&gt;=10),"Standard","Basic"))</f>
        <v>Premium</v>
      </c>
      <c r="U12" s="8" t="str">
        <f aca="false">IF(AND(F12&gt;=7,G12&gt;=7),"High Quality Experience","Review Needed")</f>
        <v>Review Needed</v>
      </c>
      <c r="V12" s="8" t="str">
        <f aca="false">IF(H12&gt;=10,"Repeat Buyer","Occasional Buyer")</f>
        <v>Repeat Buyer</v>
      </c>
      <c r="W12" s="8" t="str">
        <f aca="false">IF(AND(K12&lt;70,I12="Low"),"At Risk","Stable")</f>
        <v>Stable</v>
      </c>
      <c r="X12" s="8" t="str">
        <f aca="false">IF(AND(K12&lt;75,I12="Low",J12="Bronze"),"Priority Followup","No Action")</f>
        <v>No Action</v>
      </c>
    </row>
    <row r="13" customFormat="false" ht="15" hidden="false" customHeight="false" outlineLevel="0" collapsed="false">
      <c r="A13" s="3" t="n">
        <v>11</v>
      </c>
      <c r="B13" s="3" t="n">
        <v>28</v>
      </c>
      <c r="C13" s="3" t="s">
        <v>17</v>
      </c>
      <c r="D13" s="3" t="s">
        <v>23</v>
      </c>
      <c r="E13" s="3" t="n">
        <v>46732</v>
      </c>
      <c r="F13" s="3" t="n">
        <v>9</v>
      </c>
      <c r="G13" s="3" t="n">
        <v>3</v>
      </c>
      <c r="H13" s="3" t="n">
        <v>3</v>
      </c>
      <c r="I13" s="3" t="s">
        <v>21</v>
      </c>
      <c r="J13" s="3" t="s">
        <v>16</v>
      </c>
      <c r="K13" s="3" t="n">
        <v>94.6</v>
      </c>
      <c r="L13" s="7" t="str">
        <f aca="false">IF(B13&lt;25,"Gen Z",IF(B13&lt;40,"Millennial",IF(B13&lt;55,"Gen X","Baby Boomer")))</f>
        <v>Millennial</v>
      </c>
      <c r="M13" s="7" t="str">
        <f aca="false">IF(E13&lt;50000,"Low Income",IF(E13&lt;80000,"Middle Income",IF(E13&lt;100000,"Upper Middle","High Income")))</f>
        <v>Low Income</v>
      </c>
      <c r="N13" s="7" t="str">
        <f aca="false">IF(F13&lt;=3,"Poor",IF(F13&lt;=6,"Average",IF(F13&lt;=8,"Good","Excellent")))</f>
        <v>Excellent</v>
      </c>
      <c r="O13" s="7" t="str">
        <f aca="false">IF(G13&lt;=3,"Poor",IF(G13&lt;=6,"Average",IF(G13&lt;=8,"Good","Excellent")))</f>
        <v>Poor</v>
      </c>
      <c r="P13" s="7" t="str">
        <f aca="false">IF(H13&lt;=5,"Low Frequency",IF(H13&lt;=10,"Moderate",IF(H13&lt;=15,"High","Very High")))</f>
        <v>Low Frequency</v>
      </c>
      <c r="Q13" s="7" t="str">
        <f aca="false">IF(K13&gt;=90,"Highly Satisfied",IF(K13&gt;=75,"Satisfied",IF(K13&gt;=60,"Neutral","Dissatisfied")))</f>
        <v>Highly Satisfied</v>
      </c>
      <c r="R13" s="7" t="str">
        <f aca="false">UPPER(LEFT(TRIM(J13),1))&amp;LOWER(MID(TRIM(J13),2,100))</f>
        <v>Gold</v>
      </c>
      <c r="S13" s="7" t="str">
        <f aca="false">IF(I13="High","Positive",IF(I13="Medium","Neutral","Negative"))</f>
        <v>Positive</v>
      </c>
      <c r="T13" s="7" t="str">
        <f aca="false">IF(AND(E13&gt;=80000,H13&gt;=15),"Premium",IF(AND(E13&gt;=50000,H13&gt;=10),"Standard","Basic"))</f>
        <v>Basic</v>
      </c>
      <c r="U13" s="7" t="str">
        <f aca="false">IF(AND(F13&gt;=7,G13&gt;=7),"High Quality Experience","Review Needed")</f>
        <v>Review Needed</v>
      </c>
      <c r="V13" s="7" t="str">
        <f aca="false">IF(H13&gt;=10,"Repeat Buyer","Occasional Buyer")</f>
        <v>Occasional Buyer</v>
      </c>
      <c r="W13" s="7" t="str">
        <f aca="false">IF(AND(K13&lt;70,I13="Low"),"At Risk","Stable")</f>
        <v>Stable</v>
      </c>
      <c r="X13" s="7" t="str">
        <f aca="false">IF(AND(K13&lt;75,I13="Low",J13="Bronze"),"Priority Followup","No Action")</f>
        <v>No Action</v>
      </c>
    </row>
    <row r="14" customFormat="false" ht="15" hidden="false" customHeight="false" outlineLevel="0" collapsed="false">
      <c r="A14" s="2" t="n">
        <v>12</v>
      </c>
      <c r="B14" s="2" t="n">
        <v>28</v>
      </c>
      <c r="C14" s="2" t="s">
        <v>17</v>
      </c>
      <c r="D14" s="2" t="s">
        <v>20</v>
      </c>
      <c r="E14" s="2" t="n">
        <v>38742</v>
      </c>
      <c r="F14" s="2" t="n">
        <v>8</v>
      </c>
      <c r="G14" s="2" t="n">
        <v>6</v>
      </c>
      <c r="H14" s="2" t="n">
        <v>13</v>
      </c>
      <c r="I14" s="2" t="s">
        <v>15</v>
      </c>
      <c r="J14" s="2" t="s">
        <v>19</v>
      </c>
      <c r="K14" s="2" t="n">
        <v>81.85</v>
      </c>
      <c r="L14" s="8" t="str">
        <f aca="false">IF(B14&lt;25,"Gen Z",IF(B14&lt;40,"Millennial",IF(B14&lt;55,"Gen X","Baby Boomer")))</f>
        <v>Millennial</v>
      </c>
      <c r="M14" s="8" t="str">
        <f aca="false">IF(E14&lt;50000,"Low Income",IF(E14&lt;80000,"Middle Income",IF(E14&lt;100000,"Upper Middle","High Income")))</f>
        <v>Low Income</v>
      </c>
      <c r="N14" s="8" t="str">
        <f aca="false">IF(F14&lt;=3,"Poor",IF(F14&lt;=6,"Average",IF(F14&lt;=8,"Good","Excellent")))</f>
        <v>Good</v>
      </c>
      <c r="O14" s="8" t="str">
        <f aca="false">IF(G14&lt;=3,"Poor",IF(G14&lt;=6,"Average",IF(G14&lt;=8,"Good","Excellent")))</f>
        <v>Average</v>
      </c>
      <c r="P14" s="8" t="str">
        <f aca="false">IF(H14&lt;=5,"Low Frequency",IF(H14&lt;=10,"Moderate",IF(H14&lt;=15,"High","Very High")))</f>
        <v>High</v>
      </c>
      <c r="Q14" s="8" t="str">
        <f aca="false">IF(K14&gt;=90,"Highly Satisfied",IF(K14&gt;=75,"Satisfied",IF(K14&gt;=60,"Neutral","Dissatisfied")))</f>
        <v>Satisfied</v>
      </c>
      <c r="R14" s="8" t="str">
        <f aca="false">UPPER(LEFT(TRIM(J14),1))&amp;LOWER(MID(TRIM(J14),2,100))</f>
        <v>Silver</v>
      </c>
      <c r="S14" s="8" t="str">
        <f aca="false">IF(I14="High","Positive",IF(I14="Medium","Neutral","Negative"))</f>
        <v>Neutral</v>
      </c>
      <c r="T14" s="8" t="str">
        <f aca="false">IF(AND(E14&gt;=80000,H14&gt;=15),"Premium",IF(AND(E14&gt;=50000,H14&gt;=10),"Standard","Basic"))</f>
        <v>Basic</v>
      </c>
      <c r="U14" s="8" t="str">
        <f aca="false">IF(AND(F14&gt;=7,G14&gt;=7),"High Quality Experience","Review Needed")</f>
        <v>Review Needed</v>
      </c>
      <c r="V14" s="8" t="str">
        <f aca="false">IF(H14&gt;=10,"Repeat Buyer","Occasional Buyer")</f>
        <v>Repeat Buyer</v>
      </c>
      <c r="W14" s="8" t="str">
        <f aca="false">IF(AND(K14&lt;70,I14="Low"),"At Risk","Stable")</f>
        <v>Stable</v>
      </c>
      <c r="X14" s="8" t="str">
        <f aca="false">IF(AND(K14&lt;75,I14="Low",J14="Bronze"),"Priority Followup","No Action")</f>
        <v>No Action</v>
      </c>
    </row>
    <row r="15" customFormat="false" ht="15" hidden="false" customHeight="false" outlineLevel="0" collapsed="false">
      <c r="A15" s="3" t="n">
        <v>13</v>
      </c>
      <c r="B15" s="3" t="n">
        <v>41</v>
      </c>
      <c r="C15" s="3" t="s">
        <v>11</v>
      </c>
      <c r="D15" s="3" t="s">
        <v>22</v>
      </c>
      <c r="E15" s="3" t="n">
        <v>30028</v>
      </c>
      <c r="F15" s="3" t="n">
        <v>8</v>
      </c>
      <c r="G15" s="3" t="n">
        <v>6</v>
      </c>
      <c r="H15" s="3" t="n">
        <v>20</v>
      </c>
      <c r="I15" s="3" t="s">
        <v>15</v>
      </c>
      <c r="J15" s="3" t="s">
        <v>14</v>
      </c>
      <c r="K15" s="3" t="n">
        <v>95.99</v>
      </c>
      <c r="L15" s="7" t="str">
        <f aca="false">IF(B15&lt;25,"Gen Z",IF(B15&lt;40,"Millennial",IF(B15&lt;55,"Gen X","Baby Boomer")))</f>
        <v>Gen X</v>
      </c>
      <c r="M15" s="7" t="str">
        <f aca="false">IF(E15&lt;50000,"Low Income",IF(E15&lt;80000,"Middle Income",IF(E15&lt;100000,"Upper Middle","High Income")))</f>
        <v>Low Income</v>
      </c>
      <c r="N15" s="7" t="str">
        <f aca="false">IF(F15&lt;=3,"Poor",IF(F15&lt;=6,"Average",IF(F15&lt;=8,"Good","Excellent")))</f>
        <v>Good</v>
      </c>
      <c r="O15" s="7" t="str">
        <f aca="false">IF(G15&lt;=3,"Poor",IF(G15&lt;=6,"Average",IF(G15&lt;=8,"Good","Excellent")))</f>
        <v>Average</v>
      </c>
      <c r="P15" s="7" t="str">
        <f aca="false">IF(H15&lt;=5,"Low Frequency",IF(H15&lt;=10,"Moderate",IF(H15&lt;=15,"High","Very High")))</f>
        <v>Very High</v>
      </c>
      <c r="Q15" s="7" t="str">
        <f aca="false">IF(K15&gt;=90,"Highly Satisfied",IF(K15&gt;=75,"Satisfied",IF(K15&gt;=60,"Neutral","Dissatisfied")))</f>
        <v>Highly Satisfied</v>
      </c>
      <c r="R15" s="7" t="str">
        <f aca="false">UPPER(LEFT(TRIM(J15),1))&amp;LOWER(MID(TRIM(J15),2,100))</f>
        <v>Bronze</v>
      </c>
      <c r="S15" s="7" t="str">
        <f aca="false">IF(I15="High","Positive",IF(I15="Medium","Neutral","Negative"))</f>
        <v>Neutral</v>
      </c>
      <c r="T15" s="7" t="str">
        <f aca="false">IF(AND(E15&gt;=80000,H15&gt;=15),"Premium",IF(AND(E15&gt;=50000,H15&gt;=10),"Standard","Basic"))</f>
        <v>Basic</v>
      </c>
      <c r="U15" s="7" t="str">
        <f aca="false">IF(AND(F15&gt;=7,G15&gt;=7),"High Quality Experience","Review Needed")</f>
        <v>Review Needed</v>
      </c>
      <c r="V15" s="7" t="str">
        <f aca="false">IF(H15&gt;=10,"Repeat Buyer","Occasional Buyer")</f>
        <v>Repeat Buyer</v>
      </c>
      <c r="W15" s="7" t="str">
        <f aca="false">IF(AND(K15&lt;70,I15="Low"),"At Risk","Stable")</f>
        <v>Stable</v>
      </c>
      <c r="X15" s="7" t="str">
        <f aca="false">IF(AND(K15&lt;75,I15="Low",J15="Bronze"),"Priority Followup","No Action")</f>
        <v>No Action</v>
      </c>
    </row>
    <row r="16" customFormat="false" ht="15" hidden="false" customHeight="false" outlineLevel="0" collapsed="false">
      <c r="A16" s="2" t="n">
        <v>14</v>
      </c>
      <c r="B16" s="2" t="n">
        <v>53</v>
      </c>
      <c r="C16" s="2" t="s">
        <v>17</v>
      </c>
      <c r="D16" s="2" t="s">
        <v>18</v>
      </c>
      <c r="E16" s="2" t="n">
        <v>58353</v>
      </c>
      <c r="F16" s="2" t="n">
        <v>6</v>
      </c>
      <c r="G16" s="2" t="n">
        <v>8</v>
      </c>
      <c r="H16" s="2" t="n">
        <v>17</v>
      </c>
      <c r="I16" s="2" t="s">
        <v>15</v>
      </c>
      <c r="J16" s="2" t="s">
        <v>14</v>
      </c>
      <c r="K16" s="2" t="n">
        <v>100</v>
      </c>
      <c r="L16" s="8" t="str">
        <f aca="false">IF(B16&lt;25,"Gen Z",IF(B16&lt;40,"Millennial",IF(B16&lt;55,"Gen X","Baby Boomer")))</f>
        <v>Gen X</v>
      </c>
      <c r="M16" s="8" t="str">
        <f aca="false">IF(E16&lt;50000,"Low Income",IF(E16&lt;80000,"Middle Income",IF(E16&lt;100000,"Upper Middle","High Income")))</f>
        <v>Middle Income</v>
      </c>
      <c r="N16" s="8" t="str">
        <f aca="false">IF(F16&lt;=3,"Poor",IF(F16&lt;=6,"Average",IF(F16&lt;=8,"Good","Excellent")))</f>
        <v>Average</v>
      </c>
      <c r="O16" s="8" t="str">
        <f aca="false">IF(G16&lt;=3,"Poor",IF(G16&lt;=6,"Average",IF(G16&lt;=8,"Good","Excellent")))</f>
        <v>Good</v>
      </c>
      <c r="P16" s="8" t="str">
        <f aca="false">IF(H16&lt;=5,"Low Frequency",IF(H16&lt;=10,"Moderate",IF(H16&lt;=15,"High","Very High")))</f>
        <v>Very High</v>
      </c>
      <c r="Q16" s="8" t="str">
        <f aca="false">IF(K16&gt;=90,"Highly Satisfied",IF(K16&gt;=75,"Satisfied",IF(K16&gt;=60,"Neutral","Dissatisfied")))</f>
        <v>Highly Satisfied</v>
      </c>
      <c r="R16" s="8" t="str">
        <f aca="false">UPPER(LEFT(TRIM(J16),1))&amp;LOWER(MID(TRIM(J16),2,100))</f>
        <v>Bronze</v>
      </c>
      <c r="S16" s="8" t="str">
        <f aca="false">IF(I16="High","Positive",IF(I16="Medium","Neutral","Negative"))</f>
        <v>Neutral</v>
      </c>
      <c r="T16" s="8" t="str">
        <f aca="false">IF(AND(E16&gt;=80000,H16&gt;=15),"Premium",IF(AND(E16&gt;=50000,H16&gt;=10),"Standard","Basic"))</f>
        <v>Standard</v>
      </c>
      <c r="U16" s="8" t="str">
        <f aca="false">IF(AND(F16&gt;=7,G16&gt;=7),"High Quality Experience","Review Needed")</f>
        <v>Review Needed</v>
      </c>
      <c r="V16" s="8" t="str">
        <f aca="false">IF(H16&gt;=10,"Repeat Buyer","Occasional Buyer")</f>
        <v>Repeat Buyer</v>
      </c>
      <c r="W16" s="8" t="str">
        <f aca="false">IF(AND(K16&lt;70,I16="Low"),"At Risk","Stable")</f>
        <v>Stable</v>
      </c>
      <c r="X16" s="8" t="str">
        <f aca="false">IF(AND(K16&lt;75,I16="Low",J16="Bronze"),"Priority Followup","No Action")</f>
        <v>No Action</v>
      </c>
    </row>
    <row r="17" customFormat="false" ht="15" hidden="false" customHeight="false" outlineLevel="0" collapsed="false">
      <c r="A17" s="3" t="n">
        <v>15</v>
      </c>
      <c r="B17" s="3" t="n">
        <v>57</v>
      </c>
      <c r="C17" s="3" t="s">
        <v>17</v>
      </c>
      <c r="D17" s="3" t="s">
        <v>22</v>
      </c>
      <c r="E17" s="3" t="n">
        <v>75657</v>
      </c>
      <c r="F17" s="3" t="n">
        <v>1</v>
      </c>
      <c r="G17" s="3" t="n">
        <v>8</v>
      </c>
      <c r="H17" s="3" t="n">
        <v>15</v>
      </c>
      <c r="I17" s="3" t="s">
        <v>15</v>
      </c>
      <c r="J17" s="3" t="s">
        <v>19</v>
      </c>
      <c r="K17" s="3" t="n">
        <v>100</v>
      </c>
      <c r="L17" s="7" t="str">
        <f aca="false">IF(B17&lt;25,"Gen Z",IF(B17&lt;40,"Millennial",IF(B17&lt;55,"Gen X","Baby Boomer")))</f>
        <v>Baby Boomer</v>
      </c>
      <c r="M17" s="7" t="str">
        <f aca="false">IF(E17&lt;50000,"Low Income",IF(E17&lt;80000,"Middle Income",IF(E17&lt;100000,"Upper Middle","High Income")))</f>
        <v>Middle Income</v>
      </c>
      <c r="N17" s="7" t="str">
        <f aca="false">IF(F17&lt;=3,"Poor",IF(F17&lt;=6,"Average",IF(F17&lt;=8,"Good","Excellent")))</f>
        <v>Poor</v>
      </c>
      <c r="O17" s="7" t="str">
        <f aca="false">IF(G17&lt;=3,"Poor",IF(G17&lt;=6,"Average",IF(G17&lt;=8,"Good","Excellent")))</f>
        <v>Good</v>
      </c>
      <c r="P17" s="7" t="str">
        <f aca="false">IF(H17&lt;=5,"Low Frequency",IF(H17&lt;=10,"Moderate",IF(H17&lt;=15,"High","Very High")))</f>
        <v>High</v>
      </c>
      <c r="Q17" s="7" t="str">
        <f aca="false">IF(K17&gt;=90,"Highly Satisfied",IF(K17&gt;=75,"Satisfied",IF(K17&gt;=60,"Neutral","Dissatisfied")))</f>
        <v>Highly Satisfied</v>
      </c>
      <c r="R17" s="7" t="str">
        <f aca="false">UPPER(LEFT(TRIM(J17),1))&amp;LOWER(MID(TRIM(J17),2,100))</f>
        <v>Silver</v>
      </c>
      <c r="S17" s="7" t="str">
        <f aca="false">IF(I17="High","Positive",IF(I17="Medium","Neutral","Negative"))</f>
        <v>Neutral</v>
      </c>
      <c r="T17" s="7" t="str">
        <f aca="false">IF(AND(E17&gt;=80000,H17&gt;=15),"Premium",IF(AND(E17&gt;=50000,H17&gt;=10),"Standard","Basic"))</f>
        <v>Standard</v>
      </c>
      <c r="U17" s="7" t="str">
        <f aca="false">IF(AND(F17&gt;=7,G17&gt;=7),"High Quality Experience","Review Needed")</f>
        <v>Review Needed</v>
      </c>
      <c r="V17" s="7" t="str">
        <f aca="false">IF(H17&gt;=10,"Repeat Buyer","Occasional Buyer")</f>
        <v>Repeat Buyer</v>
      </c>
      <c r="W17" s="7" t="str">
        <f aca="false">IF(AND(K17&lt;70,I17="Low"),"At Risk","Stable")</f>
        <v>Stable</v>
      </c>
      <c r="X17" s="7" t="str">
        <f aca="false">IF(AND(K17&lt;75,I17="Low",J17="Bronze"),"Priority Followup","No Action")</f>
        <v>No Action</v>
      </c>
    </row>
    <row r="18" customFormat="false" ht="15" hidden="false" customHeight="false" outlineLevel="0" collapsed="false">
      <c r="A18" s="2" t="n">
        <v>16</v>
      </c>
      <c r="B18" s="2" t="n">
        <v>41</v>
      </c>
      <c r="C18" s="2" t="s">
        <v>17</v>
      </c>
      <c r="D18" s="2" t="s">
        <v>23</v>
      </c>
      <c r="E18" s="2" t="n">
        <v>59164</v>
      </c>
      <c r="F18" s="2" t="n">
        <v>1</v>
      </c>
      <c r="G18" s="2" t="n">
        <v>5</v>
      </c>
      <c r="H18" s="2" t="n">
        <v>10</v>
      </c>
      <c r="I18" s="2" t="s">
        <v>15</v>
      </c>
      <c r="J18" s="2" t="s">
        <v>19</v>
      </c>
      <c r="K18" s="2" t="n">
        <v>52.34</v>
      </c>
      <c r="L18" s="8" t="str">
        <f aca="false">IF(B18&lt;25,"Gen Z",IF(B18&lt;40,"Millennial",IF(B18&lt;55,"Gen X","Baby Boomer")))</f>
        <v>Gen X</v>
      </c>
      <c r="M18" s="8" t="str">
        <f aca="false">IF(E18&lt;50000,"Low Income",IF(E18&lt;80000,"Middle Income",IF(E18&lt;100000,"Upper Middle","High Income")))</f>
        <v>Middle Income</v>
      </c>
      <c r="N18" s="8" t="str">
        <f aca="false">IF(F18&lt;=3,"Poor",IF(F18&lt;=6,"Average",IF(F18&lt;=8,"Good","Excellent")))</f>
        <v>Poor</v>
      </c>
      <c r="O18" s="8" t="str">
        <f aca="false">IF(G18&lt;=3,"Poor",IF(G18&lt;=6,"Average",IF(G18&lt;=8,"Good","Excellent")))</f>
        <v>Average</v>
      </c>
      <c r="P18" s="8" t="str">
        <f aca="false">IF(H18&lt;=5,"Low Frequency",IF(H18&lt;=10,"Moderate",IF(H18&lt;=15,"High","Very High")))</f>
        <v>Moderate</v>
      </c>
      <c r="Q18" s="8" t="str">
        <f aca="false">IF(K18&gt;=90,"Highly Satisfied",IF(K18&gt;=75,"Satisfied",IF(K18&gt;=60,"Neutral","Dissatisfied")))</f>
        <v>Dissatisfied</v>
      </c>
      <c r="R18" s="8" t="str">
        <f aca="false">UPPER(LEFT(TRIM(J18),1))&amp;LOWER(MID(TRIM(J18),2,100))</f>
        <v>Silver</v>
      </c>
      <c r="S18" s="8" t="str">
        <f aca="false">IF(I18="High","Positive",IF(I18="Medium","Neutral","Negative"))</f>
        <v>Neutral</v>
      </c>
      <c r="T18" s="8" t="str">
        <f aca="false">IF(AND(E18&gt;=80000,H18&gt;=15),"Premium",IF(AND(E18&gt;=50000,H18&gt;=10),"Standard","Basic"))</f>
        <v>Standard</v>
      </c>
      <c r="U18" s="8" t="str">
        <f aca="false">IF(AND(F18&gt;=7,G18&gt;=7),"High Quality Experience","Review Needed")</f>
        <v>Review Needed</v>
      </c>
      <c r="V18" s="8" t="str">
        <f aca="false">IF(H18&gt;=10,"Repeat Buyer","Occasional Buyer")</f>
        <v>Repeat Buyer</v>
      </c>
      <c r="W18" s="8" t="str">
        <f aca="false">IF(AND(K18&lt;70,I18="Low"),"At Risk","Stable")</f>
        <v>Stable</v>
      </c>
      <c r="X18" s="8" t="str">
        <f aca="false">IF(AND(K18&lt;75,I18="Low",J18="Bronze"),"Priority Followup","No Action")</f>
        <v>No Action</v>
      </c>
    </row>
    <row r="19" customFormat="false" ht="15" hidden="false" customHeight="false" outlineLevel="0" collapsed="false">
      <c r="A19" s="3" t="n">
        <v>17</v>
      </c>
      <c r="B19" s="3" t="n">
        <v>20</v>
      </c>
      <c r="C19" s="3" t="s">
        <v>17</v>
      </c>
      <c r="D19" s="3" t="s">
        <v>22</v>
      </c>
      <c r="E19" s="3" t="n">
        <v>73887</v>
      </c>
      <c r="F19" s="3" t="n">
        <v>5</v>
      </c>
      <c r="G19" s="3" t="n">
        <v>4</v>
      </c>
      <c r="H19" s="3" t="n">
        <v>7</v>
      </c>
      <c r="I19" s="3" t="s">
        <v>15</v>
      </c>
      <c r="J19" s="3" t="s">
        <v>19</v>
      </c>
      <c r="K19" s="3" t="n">
        <v>73.48</v>
      </c>
      <c r="L19" s="7" t="str">
        <f aca="false">IF(B19&lt;25,"Gen Z",IF(B19&lt;40,"Millennial",IF(B19&lt;55,"Gen X","Baby Boomer")))</f>
        <v>Gen Z</v>
      </c>
      <c r="M19" s="7" t="str">
        <f aca="false">IF(E19&lt;50000,"Low Income",IF(E19&lt;80000,"Middle Income",IF(E19&lt;100000,"Upper Middle","High Income")))</f>
        <v>Middle Income</v>
      </c>
      <c r="N19" s="7" t="str">
        <f aca="false">IF(F19&lt;=3,"Poor",IF(F19&lt;=6,"Average",IF(F19&lt;=8,"Good","Excellent")))</f>
        <v>Average</v>
      </c>
      <c r="O19" s="7" t="str">
        <f aca="false">IF(G19&lt;=3,"Poor",IF(G19&lt;=6,"Average",IF(G19&lt;=8,"Good","Excellent")))</f>
        <v>Average</v>
      </c>
      <c r="P19" s="7" t="str">
        <f aca="false">IF(H19&lt;=5,"Low Frequency",IF(H19&lt;=10,"Moderate",IF(H19&lt;=15,"High","Very High")))</f>
        <v>Moderate</v>
      </c>
      <c r="Q19" s="7" t="str">
        <f aca="false">IF(K19&gt;=90,"Highly Satisfied",IF(K19&gt;=75,"Satisfied",IF(K19&gt;=60,"Neutral","Dissatisfied")))</f>
        <v>Neutral</v>
      </c>
      <c r="R19" s="7" t="str">
        <f aca="false">UPPER(LEFT(TRIM(J19),1))&amp;LOWER(MID(TRIM(J19),2,100))</f>
        <v>Silver</v>
      </c>
      <c r="S19" s="7" t="str">
        <f aca="false">IF(I19="High","Positive",IF(I19="Medium","Neutral","Negative"))</f>
        <v>Neutral</v>
      </c>
      <c r="T19" s="7" t="str">
        <f aca="false">IF(AND(E19&gt;=80000,H19&gt;=15),"Premium",IF(AND(E19&gt;=50000,H19&gt;=10),"Standard","Basic"))</f>
        <v>Basic</v>
      </c>
      <c r="U19" s="7" t="str">
        <f aca="false">IF(AND(F19&gt;=7,G19&gt;=7),"High Quality Experience","Review Needed")</f>
        <v>Review Needed</v>
      </c>
      <c r="V19" s="7" t="str">
        <f aca="false">IF(H19&gt;=10,"Repeat Buyer","Occasional Buyer")</f>
        <v>Occasional Buyer</v>
      </c>
      <c r="W19" s="7" t="str">
        <f aca="false">IF(AND(K19&lt;70,I19="Low"),"At Risk","Stable")</f>
        <v>Stable</v>
      </c>
      <c r="X19" s="7" t="str">
        <f aca="false">IF(AND(K19&lt;75,I19="Low",J19="Bronze"),"Priority Followup","No Action")</f>
        <v>No Action</v>
      </c>
    </row>
    <row r="20" customFormat="false" ht="15" hidden="false" customHeight="false" outlineLevel="0" collapsed="false">
      <c r="A20" s="2" t="n">
        <v>18</v>
      </c>
      <c r="B20" s="2" t="n">
        <v>39</v>
      </c>
      <c r="C20" s="2" t="s">
        <v>17</v>
      </c>
      <c r="D20" s="2" t="s">
        <v>20</v>
      </c>
      <c r="E20" s="2" t="n">
        <v>63522</v>
      </c>
      <c r="F20" s="2" t="n">
        <v>8</v>
      </c>
      <c r="G20" s="2" t="n">
        <v>3</v>
      </c>
      <c r="H20" s="2" t="n">
        <v>8</v>
      </c>
      <c r="I20" s="2" t="s">
        <v>21</v>
      </c>
      <c r="J20" s="2" t="s">
        <v>16</v>
      </c>
      <c r="K20" s="2" t="n">
        <v>86.31</v>
      </c>
      <c r="L20" s="8" t="str">
        <f aca="false">IF(B20&lt;25,"Gen Z",IF(B20&lt;40,"Millennial",IF(B20&lt;55,"Gen X","Baby Boomer")))</f>
        <v>Millennial</v>
      </c>
      <c r="M20" s="8" t="str">
        <f aca="false">IF(E20&lt;50000,"Low Income",IF(E20&lt;80000,"Middle Income",IF(E20&lt;100000,"Upper Middle","High Income")))</f>
        <v>Middle Income</v>
      </c>
      <c r="N20" s="8" t="str">
        <f aca="false">IF(F20&lt;=3,"Poor",IF(F20&lt;=6,"Average",IF(F20&lt;=8,"Good","Excellent")))</f>
        <v>Good</v>
      </c>
      <c r="O20" s="8" t="str">
        <f aca="false">IF(G20&lt;=3,"Poor",IF(G20&lt;=6,"Average",IF(G20&lt;=8,"Good","Excellent")))</f>
        <v>Poor</v>
      </c>
      <c r="P20" s="8" t="str">
        <f aca="false">IF(H20&lt;=5,"Low Frequency",IF(H20&lt;=10,"Moderate",IF(H20&lt;=15,"High","Very High")))</f>
        <v>Moderate</v>
      </c>
      <c r="Q20" s="8" t="str">
        <f aca="false">IF(K20&gt;=90,"Highly Satisfied",IF(K20&gt;=75,"Satisfied",IF(K20&gt;=60,"Neutral","Dissatisfied")))</f>
        <v>Satisfied</v>
      </c>
      <c r="R20" s="8" t="str">
        <f aca="false">UPPER(LEFT(TRIM(J20),1))&amp;LOWER(MID(TRIM(J20),2,100))</f>
        <v>Gold</v>
      </c>
      <c r="S20" s="8" t="str">
        <f aca="false">IF(I20="High","Positive",IF(I20="Medium","Neutral","Negative"))</f>
        <v>Positive</v>
      </c>
      <c r="T20" s="8" t="str">
        <f aca="false">IF(AND(E20&gt;=80000,H20&gt;=15),"Premium",IF(AND(E20&gt;=50000,H20&gt;=10),"Standard","Basic"))</f>
        <v>Basic</v>
      </c>
      <c r="U20" s="8" t="str">
        <f aca="false">IF(AND(F20&gt;=7,G20&gt;=7),"High Quality Experience","Review Needed")</f>
        <v>Review Needed</v>
      </c>
      <c r="V20" s="8" t="str">
        <f aca="false">IF(H20&gt;=10,"Repeat Buyer","Occasional Buyer")</f>
        <v>Occasional Buyer</v>
      </c>
      <c r="W20" s="8" t="str">
        <f aca="false">IF(AND(K20&lt;70,I20="Low"),"At Risk","Stable")</f>
        <v>Stable</v>
      </c>
      <c r="X20" s="8" t="str">
        <f aca="false">IF(AND(K20&lt;75,I20="Low",J20="Bronze"),"Priority Followup","No Action")</f>
        <v>No Action</v>
      </c>
    </row>
    <row r="21" customFormat="false" ht="15" hidden="false" customHeight="false" outlineLevel="0" collapsed="false">
      <c r="A21" s="3" t="n">
        <v>19</v>
      </c>
      <c r="B21" s="3" t="n">
        <v>19</v>
      </c>
      <c r="C21" s="3" t="s">
        <v>11</v>
      </c>
      <c r="D21" s="3" t="s">
        <v>18</v>
      </c>
      <c r="E21" s="3" t="n">
        <v>88593</v>
      </c>
      <c r="F21" s="3" t="n">
        <v>5</v>
      </c>
      <c r="G21" s="3" t="n">
        <v>9</v>
      </c>
      <c r="H21" s="3" t="n">
        <v>8</v>
      </c>
      <c r="I21" s="3" t="s">
        <v>21</v>
      </c>
      <c r="J21" s="3" t="s">
        <v>14</v>
      </c>
      <c r="K21" s="3" t="n">
        <v>100</v>
      </c>
      <c r="L21" s="7" t="str">
        <f aca="false">IF(B21&lt;25,"Gen Z",IF(B21&lt;40,"Millennial",IF(B21&lt;55,"Gen X","Baby Boomer")))</f>
        <v>Gen Z</v>
      </c>
      <c r="M21" s="7" t="str">
        <f aca="false">IF(E21&lt;50000,"Low Income",IF(E21&lt;80000,"Middle Income",IF(E21&lt;100000,"Upper Middle","High Income")))</f>
        <v>Upper Middle</v>
      </c>
      <c r="N21" s="7" t="str">
        <f aca="false">IF(F21&lt;=3,"Poor",IF(F21&lt;=6,"Average",IF(F21&lt;=8,"Good","Excellent")))</f>
        <v>Average</v>
      </c>
      <c r="O21" s="7" t="str">
        <f aca="false">IF(G21&lt;=3,"Poor",IF(G21&lt;=6,"Average",IF(G21&lt;=8,"Good","Excellent")))</f>
        <v>Excellent</v>
      </c>
      <c r="P21" s="7" t="str">
        <f aca="false">IF(H21&lt;=5,"Low Frequency",IF(H21&lt;=10,"Moderate",IF(H21&lt;=15,"High","Very High")))</f>
        <v>Moderate</v>
      </c>
      <c r="Q21" s="7" t="str">
        <f aca="false">IF(K21&gt;=90,"Highly Satisfied",IF(K21&gt;=75,"Satisfied",IF(K21&gt;=60,"Neutral","Dissatisfied")))</f>
        <v>Highly Satisfied</v>
      </c>
      <c r="R21" s="7" t="str">
        <f aca="false">UPPER(LEFT(TRIM(J21),1))&amp;LOWER(MID(TRIM(J21),2,100))</f>
        <v>Bronze</v>
      </c>
      <c r="S21" s="7" t="str">
        <f aca="false">IF(I21="High","Positive",IF(I21="Medium","Neutral","Negative"))</f>
        <v>Positive</v>
      </c>
      <c r="T21" s="7" t="str">
        <f aca="false">IF(AND(E21&gt;=80000,H21&gt;=15),"Premium",IF(AND(E21&gt;=50000,H21&gt;=10),"Standard","Basic"))</f>
        <v>Basic</v>
      </c>
      <c r="U21" s="7" t="str">
        <f aca="false">IF(AND(F21&gt;=7,G21&gt;=7),"High Quality Experience","Review Needed")</f>
        <v>Review Needed</v>
      </c>
      <c r="V21" s="7" t="str">
        <f aca="false">IF(H21&gt;=10,"Repeat Buyer","Occasional Buyer")</f>
        <v>Occasional Buyer</v>
      </c>
      <c r="W21" s="7" t="str">
        <f aca="false">IF(AND(K21&lt;70,I21="Low"),"At Risk","Stable")</f>
        <v>Stable</v>
      </c>
      <c r="X21" s="7" t="str">
        <f aca="false">IF(AND(K21&lt;75,I21="Low",J21="Bronze"),"Priority Followup","No Action")</f>
        <v>No Action</v>
      </c>
    </row>
    <row r="22" customFormat="false" ht="15" hidden="false" customHeight="false" outlineLevel="0" collapsed="false">
      <c r="A22" s="2" t="n">
        <v>20</v>
      </c>
      <c r="B22" s="2" t="n">
        <v>41</v>
      </c>
      <c r="C22" s="2" t="s">
        <v>17</v>
      </c>
      <c r="D22" s="2" t="s">
        <v>22</v>
      </c>
      <c r="E22" s="2" t="n">
        <v>37901</v>
      </c>
      <c r="F22" s="2" t="n">
        <v>7</v>
      </c>
      <c r="G22" s="2" t="n">
        <v>5</v>
      </c>
      <c r="H22" s="2" t="n">
        <v>17</v>
      </c>
      <c r="I22" s="2" t="s">
        <v>13</v>
      </c>
      <c r="J22" s="2" t="s">
        <v>16</v>
      </c>
      <c r="K22" s="2" t="n">
        <v>85.16</v>
      </c>
      <c r="L22" s="8" t="str">
        <f aca="false">IF(B22&lt;25,"Gen Z",IF(B22&lt;40,"Millennial",IF(B22&lt;55,"Gen X","Baby Boomer")))</f>
        <v>Gen X</v>
      </c>
      <c r="M22" s="8" t="str">
        <f aca="false">IF(E22&lt;50000,"Low Income",IF(E22&lt;80000,"Middle Income",IF(E22&lt;100000,"Upper Middle","High Income")))</f>
        <v>Low Income</v>
      </c>
      <c r="N22" s="8" t="str">
        <f aca="false">IF(F22&lt;=3,"Poor",IF(F22&lt;=6,"Average",IF(F22&lt;=8,"Good","Excellent")))</f>
        <v>Good</v>
      </c>
      <c r="O22" s="8" t="str">
        <f aca="false">IF(G22&lt;=3,"Poor",IF(G22&lt;=6,"Average",IF(G22&lt;=8,"Good","Excellent")))</f>
        <v>Average</v>
      </c>
      <c r="P22" s="8" t="str">
        <f aca="false">IF(H22&lt;=5,"Low Frequency",IF(H22&lt;=10,"Moderate",IF(H22&lt;=15,"High","Very High")))</f>
        <v>Very High</v>
      </c>
      <c r="Q22" s="8" t="str">
        <f aca="false">IF(K22&gt;=90,"Highly Satisfied",IF(K22&gt;=75,"Satisfied",IF(K22&gt;=60,"Neutral","Dissatisfied")))</f>
        <v>Satisfied</v>
      </c>
      <c r="R22" s="8" t="str">
        <f aca="false">UPPER(LEFT(TRIM(J22),1))&amp;LOWER(MID(TRIM(J22),2,100))</f>
        <v>Gold</v>
      </c>
      <c r="S22" s="8" t="str">
        <f aca="false">IF(I22="High","Positive",IF(I22="Medium","Neutral","Negative"))</f>
        <v>Negative</v>
      </c>
      <c r="T22" s="8" t="str">
        <f aca="false">IF(AND(E22&gt;=80000,H22&gt;=15),"Premium",IF(AND(E22&gt;=50000,H22&gt;=10),"Standard","Basic"))</f>
        <v>Basic</v>
      </c>
      <c r="U22" s="8" t="str">
        <f aca="false">IF(AND(F22&gt;=7,G22&gt;=7),"High Quality Experience","Review Needed")</f>
        <v>Review Needed</v>
      </c>
      <c r="V22" s="8" t="str">
        <f aca="false">IF(H22&gt;=10,"Repeat Buyer","Occasional Buyer")</f>
        <v>Repeat Buyer</v>
      </c>
      <c r="W22" s="8" t="str">
        <f aca="false">IF(AND(K22&lt;70,I22="Low"),"At Risk","Stable")</f>
        <v>Stable</v>
      </c>
      <c r="X22" s="8" t="str">
        <f aca="false">IF(AND(K22&lt;75,I22="Low",J22="Bronze"),"Priority Followup","No Action")</f>
        <v>No Action</v>
      </c>
    </row>
    <row r="23" customFormat="false" ht="15" hidden="false" customHeight="false" outlineLevel="0" collapsed="false">
      <c r="A23" s="3" t="n">
        <v>21</v>
      </c>
      <c r="B23" s="3" t="n">
        <v>61</v>
      </c>
      <c r="C23" s="3" t="s">
        <v>17</v>
      </c>
      <c r="D23" s="3" t="s">
        <v>20</v>
      </c>
      <c r="E23" s="3" t="n">
        <v>41595</v>
      </c>
      <c r="F23" s="3" t="n">
        <v>2</v>
      </c>
      <c r="G23" s="3" t="n">
        <v>4</v>
      </c>
      <c r="H23" s="3" t="n">
        <v>11</v>
      </c>
      <c r="I23" s="3" t="s">
        <v>21</v>
      </c>
      <c r="J23" s="3" t="s">
        <v>16</v>
      </c>
      <c r="K23" s="3" t="n">
        <v>69.85</v>
      </c>
      <c r="L23" s="7" t="str">
        <f aca="false">IF(B23&lt;25,"Gen Z",IF(B23&lt;40,"Millennial",IF(B23&lt;55,"Gen X","Baby Boomer")))</f>
        <v>Baby Boomer</v>
      </c>
      <c r="M23" s="7" t="str">
        <f aca="false">IF(E23&lt;50000,"Low Income",IF(E23&lt;80000,"Middle Income",IF(E23&lt;100000,"Upper Middle","High Income")))</f>
        <v>Low Income</v>
      </c>
      <c r="N23" s="7" t="str">
        <f aca="false">IF(F23&lt;=3,"Poor",IF(F23&lt;=6,"Average",IF(F23&lt;=8,"Good","Excellent")))</f>
        <v>Poor</v>
      </c>
      <c r="O23" s="7" t="str">
        <f aca="false">IF(G23&lt;=3,"Poor",IF(G23&lt;=6,"Average",IF(G23&lt;=8,"Good","Excellent")))</f>
        <v>Average</v>
      </c>
      <c r="P23" s="7" t="str">
        <f aca="false">IF(H23&lt;=5,"Low Frequency",IF(H23&lt;=10,"Moderate",IF(H23&lt;=15,"High","Very High")))</f>
        <v>High</v>
      </c>
      <c r="Q23" s="7" t="str">
        <f aca="false">IF(K23&gt;=90,"Highly Satisfied",IF(K23&gt;=75,"Satisfied",IF(K23&gt;=60,"Neutral","Dissatisfied")))</f>
        <v>Neutral</v>
      </c>
      <c r="R23" s="7" t="str">
        <f aca="false">UPPER(LEFT(TRIM(J23),1))&amp;LOWER(MID(TRIM(J23),2,100))</f>
        <v>Gold</v>
      </c>
      <c r="S23" s="7" t="str">
        <f aca="false">IF(I23="High","Positive",IF(I23="Medium","Neutral","Negative"))</f>
        <v>Positive</v>
      </c>
      <c r="T23" s="7" t="str">
        <f aca="false">IF(AND(E23&gt;=80000,H23&gt;=15),"Premium",IF(AND(E23&gt;=50000,H23&gt;=10),"Standard","Basic"))</f>
        <v>Basic</v>
      </c>
      <c r="U23" s="7" t="str">
        <f aca="false">IF(AND(F23&gt;=7,G23&gt;=7),"High Quality Experience","Review Needed")</f>
        <v>Review Needed</v>
      </c>
      <c r="V23" s="7" t="str">
        <f aca="false">IF(H23&gt;=10,"Repeat Buyer","Occasional Buyer")</f>
        <v>Repeat Buyer</v>
      </c>
      <c r="W23" s="7" t="str">
        <f aca="false">IF(AND(K23&lt;70,I23="Low"),"At Risk","Stable")</f>
        <v>Stable</v>
      </c>
      <c r="X23" s="7" t="str">
        <f aca="false">IF(AND(K23&lt;75,I23="Low",J23="Bronze"),"Priority Followup","No Action")</f>
        <v>No Action</v>
      </c>
    </row>
    <row r="24" customFormat="false" ht="15" hidden="false" customHeight="false" outlineLevel="0" collapsed="false">
      <c r="A24" s="2" t="n">
        <v>22</v>
      </c>
      <c r="B24" s="2" t="n">
        <v>47</v>
      </c>
      <c r="C24" s="2" t="s">
        <v>17</v>
      </c>
      <c r="D24" s="2" t="s">
        <v>20</v>
      </c>
      <c r="E24" s="2" t="n">
        <v>95043</v>
      </c>
      <c r="F24" s="2" t="n">
        <v>7</v>
      </c>
      <c r="G24" s="2" t="n">
        <v>2</v>
      </c>
      <c r="H24" s="2" t="n">
        <v>5</v>
      </c>
      <c r="I24" s="2" t="s">
        <v>21</v>
      </c>
      <c r="J24" s="2" t="s">
        <v>14</v>
      </c>
      <c r="K24" s="2" t="n">
        <v>92.23</v>
      </c>
      <c r="L24" s="8" t="str">
        <f aca="false">IF(B24&lt;25,"Gen Z",IF(B24&lt;40,"Millennial",IF(B24&lt;55,"Gen X","Baby Boomer")))</f>
        <v>Gen X</v>
      </c>
      <c r="M24" s="8" t="str">
        <f aca="false">IF(E24&lt;50000,"Low Income",IF(E24&lt;80000,"Middle Income",IF(E24&lt;100000,"Upper Middle","High Income")))</f>
        <v>Upper Middle</v>
      </c>
      <c r="N24" s="8" t="str">
        <f aca="false">IF(F24&lt;=3,"Poor",IF(F24&lt;=6,"Average",IF(F24&lt;=8,"Good","Excellent")))</f>
        <v>Good</v>
      </c>
      <c r="O24" s="8" t="str">
        <f aca="false">IF(G24&lt;=3,"Poor",IF(G24&lt;=6,"Average",IF(G24&lt;=8,"Good","Excellent")))</f>
        <v>Poor</v>
      </c>
      <c r="P24" s="8" t="str">
        <f aca="false">IF(H24&lt;=5,"Low Frequency",IF(H24&lt;=10,"Moderate",IF(H24&lt;=15,"High","Very High")))</f>
        <v>Low Frequency</v>
      </c>
      <c r="Q24" s="8" t="str">
        <f aca="false">IF(K24&gt;=90,"Highly Satisfied",IF(K24&gt;=75,"Satisfied",IF(K24&gt;=60,"Neutral","Dissatisfied")))</f>
        <v>Highly Satisfied</v>
      </c>
      <c r="R24" s="8" t="str">
        <f aca="false">UPPER(LEFT(TRIM(J24),1))&amp;LOWER(MID(TRIM(J24),2,100))</f>
        <v>Bronze</v>
      </c>
      <c r="S24" s="8" t="str">
        <f aca="false">IF(I24="High","Positive",IF(I24="Medium","Neutral","Negative"))</f>
        <v>Positive</v>
      </c>
      <c r="T24" s="8" t="str">
        <f aca="false">IF(AND(E24&gt;=80000,H24&gt;=15),"Premium",IF(AND(E24&gt;=50000,H24&gt;=10),"Standard","Basic"))</f>
        <v>Basic</v>
      </c>
      <c r="U24" s="8" t="str">
        <f aca="false">IF(AND(F24&gt;=7,G24&gt;=7),"High Quality Experience","Review Needed")</f>
        <v>Review Needed</v>
      </c>
      <c r="V24" s="8" t="str">
        <f aca="false">IF(H24&gt;=10,"Repeat Buyer","Occasional Buyer")</f>
        <v>Occasional Buyer</v>
      </c>
      <c r="W24" s="8" t="str">
        <f aca="false">IF(AND(K24&lt;70,I24="Low"),"At Risk","Stable")</f>
        <v>Stable</v>
      </c>
      <c r="X24" s="8" t="str">
        <f aca="false">IF(AND(K24&lt;75,I24="Low",J24="Bronze"),"Priority Followup","No Action")</f>
        <v>No Action</v>
      </c>
    </row>
    <row r="25" customFormat="false" ht="15" hidden="false" customHeight="false" outlineLevel="0" collapsed="false">
      <c r="A25" s="3" t="n">
        <v>23</v>
      </c>
      <c r="B25" s="3" t="n">
        <v>55</v>
      </c>
      <c r="C25" s="3" t="s">
        <v>17</v>
      </c>
      <c r="D25" s="3" t="s">
        <v>20</v>
      </c>
      <c r="E25" s="3" t="n">
        <v>42216</v>
      </c>
      <c r="F25" s="3" t="n">
        <v>5</v>
      </c>
      <c r="G25" s="3" t="n">
        <v>6</v>
      </c>
      <c r="H25" s="3" t="n">
        <v>2</v>
      </c>
      <c r="I25" s="3" t="s">
        <v>15</v>
      </c>
      <c r="J25" s="3" t="s">
        <v>16</v>
      </c>
      <c r="K25" s="3" t="n">
        <v>90.59</v>
      </c>
      <c r="L25" s="7" t="str">
        <f aca="false">IF(B25&lt;25,"Gen Z",IF(B25&lt;40,"Millennial",IF(B25&lt;55,"Gen X","Baby Boomer")))</f>
        <v>Baby Boomer</v>
      </c>
      <c r="M25" s="7" t="str">
        <f aca="false">IF(E25&lt;50000,"Low Income",IF(E25&lt;80000,"Middle Income",IF(E25&lt;100000,"Upper Middle","High Income")))</f>
        <v>Low Income</v>
      </c>
      <c r="N25" s="7" t="str">
        <f aca="false">IF(F25&lt;=3,"Poor",IF(F25&lt;=6,"Average",IF(F25&lt;=8,"Good","Excellent")))</f>
        <v>Average</v>
      </c>
      <c r="O25" s="7" t="str">
        <f aca="false">IF(G25&lt;=3,"Poor",IF(G25&lt;=6,"Average",IF(G25&lt;=8,"Good","Excellent")))</f>
        <v>Average</v>
      </c>
      <c r="P25" s="7" t="str">
        <f aca="false">IF(H25&lt;=5,"Low Frequency",IF(H25&lt;=10,"Moderate",IF(H25&lt;=15,"High","Very High")))</f>
        <v>Low Frequency</v>
      </c>
      <c r="Q25" s="7" t="str">
        <f aca="false">IF(K25&gt;=90,"Highly Satisfied",IF(K25&gt;=75,"Satisfied",IF(K25&gt;=60,"Neutral","Dissatisfied")))</f>
        <v>Highly Satisfied</v>
      </c>
      <c r="R25" s="7" t="str">
        <f aca="false">UPPER(LEFT(TRIM(J25),1))&amp;LOWER(MID(TRIM(J25),2,100))</f>
        <v>Gold</v>
      </c>
      <c r="S25" s="7" t="str">
        <f aca="false">IF(I25="High","Positive",IF(I25="Medium","Neutral","Negative"))</f>
        <v>Neutral</v>
      </c>
      <c r="T25" s="7" t="str">
        <f aca="false">IF(AND(E25&gt;=80000,H25&gt;=15),"Premium",IF(AND(E25&gt;=50000,H25&gt;=10),"Standard","Basic"))</f>
        <v>Basic</v>
      </c>
      <c r="U25" s="7" t="str">
        <f aca="false">IF(AND(F25&gt;=7,G25&gt;=7),"High Quality Experience","Review Needed")</f>
        <v>Review Needed</v>
      </c>
      <c r="V25" s="7" t="str">
        <f aca="false">IF(H25&gt;=10,"Repeat Buyer","Occasional Buyer")</f>
        <v>Occasional Buyer</v>
      </c>
      <c r="W25" s="7" t="str">
        <f aca="false">IF(AND(K25&lt;70,I25="Low"),"At Risk","Stable")</f>
        <v>Stable</v>
      </c>
      <c r="X25" s="7" t="str">
        <f aca="false">IF(AND(K25&lt;75,I25="Low",J25="Bronze"),"Priority Followup","No Action")</f>
        <v>No Action</v>
      </c>
    </row>
    <row r="26" customFormat="false" ht="15" hidden="false" customHeight="false" outlineLevel="0" collapsed="false">
      <c r="A26" s="2" t="n">
        <v>24</v>
      </c>
      <c r="B26" s="2" t="n">
        <v>19</v>
      </c>
      <c r="C26" s="2" t="s">
        <v>11</v>
      </c>
      <c r="D26" s="2" t="s">
        <v>18</v>
      </c>
      <c r="E26" s="2" t="n">
        <v>59536</v>
      </c>
      <c r="F26" s="2" t="n">
        <v>10</v>
      </c>
      <c r="G26" s="2" t="n">
        <v>5</v>
      </c>
      <c r="H26" s="2" t="n">
        <v>7</v>
      </c>
      <c r="I26" s="2" t="s">
        <v>21</v>
      </c>
      <c r="J26" s="2" t="s">
        <v>19</v>
      </c>
      <c r="K26" s="2" t="n">
        <v>99.65</v>
      </c>
      <c r="L26" s="8" t="str">
        <f aca="false">IF(B26&lt;25,"Gen Z",IF(B26&lt;40,"Millennial",IF(B26&lt;55,"Gen X","Baby Boomer")))</f>
        <v>Gen Z</v>
      </c>
      <c r="M26" s="8" t="str">
        <f aca="false">IF(E26&lt;50000,"Low Income",IF(E26&lt;80000,"Middle Income",IF(E26&lt;100000,"Upper Middle","High Income")))</f>
        <v>Middle Income</v>
      </c>
      <c r="N26" s="8" t="str">
        <f aca="false">IF(F26&lt;=3,"Poor",IF(F26&lt;=6,"Average",IF(F26&lt;=8,"Good","Excellent")))</f>
        <v>Excellent</v>
      </c>
      <c r="O26" s="8" t="str">
        <f aca="false">IF(G26&lt;=3,"Poor",IF(G26&lt;=6,"Average",IF(G26&lt;=8,"Good","Excellent")))</f>
        <v>Average</v>
      </c>
      <c r="P26" s="8" t="str">
        <f aca="false">IF(H26&lt;=5,"Low Frequency",IF(H26&lt;=10,"Moderate",IF(H26&lt;=15,"High","Very High")))</f>
        <v>Moderate</v>
      </c>
      <c r="Q26" s="8" t="str">
        <f aca="false">IF(K26&gt;=90,"Highly Satisfied",IF(K26&gt;=75,"Satisfied",IF(K26&gt;=60,"Neutral","Dissatisfied")))</f>
        <v>Highly Satisfied</v>
      </c>
      <c r="R26" s="8" t="str">
        <f aca="false">UPPER(LEFT(TRIM(J26),1))&amp;LOWER(MID(TRIM(J26),2,100))</f>
        <v>Silver</v>
      </c>
      <c r="S26" s="8" t="str">
        <f aca="false">IF(I26="High","Positive",IF(I26="Medium","Neutral","Negative"))</f>
        <v>Positive</v>
      </c>
      <c r="T26" s="8" t="str">
        <f aca="false">IF(AND(E26&gt;=80000,H26&gt;=15),"Premium",IF(AND(E26&gt;=50000,H26&gt;=10),"Standard","Basic"))</f>
        <v>Basic</v>
      </c>
      <c r="U26" s="8" t="str">
        <f aca="false">IF(AND(F26&gt;=7,G26&gt;=7),"High Quality Experience","Review Needed")</f>
        <v>Review Needed</v>
      </c>
      <c r="V26" s="8" t="str">
        <f aca="false">IF(H26&gt;=10,"Repeat Buyer","Occasional Buyer")</f>
        <v>Occasional Buyer</v>
      </c>
      <c r="W26" s="8" t="str">
        <f aca="false">IF(AND(K26&lt;70,I26="Low"),"At Risk","Stable")</f>
        <v>Stable</v>
      </c>
      <c r="X26" s="8" t="str">
        <f aca="false">IF(AND(K26&lt;75,I26="Low",J26="Bronze"),"Priority Followup","No Action")</f>
        <v>No Action</v>
      </c>
    </row>
    <row r="27" customFormat="false" ht="15" hidden="false" customHeight="false" outlineLevel="0" collapsed="false">
      <c r="A27" s="3" t="n">
        <v>25</v>
      </c>
      <c r="B27" s="3" t="n">
        <v>38</v>
      </c>
      <c r="C27" s="3" t="s">
        <v>11</v>
      </c>
      <c r="D27" s="3" t="s">
        <v>20</v>
      </c>
      <c r="E27" s="3" t="n">
        <v>48184</v>
      </c>
      <c r="F27" s="3" t="n">
        <v>3</v>
      </c>
      <c r="G27" s="3" t="n">
        <v>2</v>
      </c>
      <c r="H27" s="3" t="n">
        <v>2</v>
      </c>
      <c r="I27" s="3" t="s">
        <v>13</v>
      </c>
      <c r="J27" s="3" t="s">
        <v>16</v>
      </c>
      <c r="K27" s="3" t="n">
        <v>49.73</v>
      </c>
      <c r="L27" s="7" t="str">
        <f aca="false">IF(B27&lt;25,"Gen Z",IF(B27&lt;40,"Millennial",IF(B27&lt;55,"Gen X","Baby Boomer")))</f>
        <v>Millennial</v>
      </c>
      <c r="M27" s="7" t="str">
        <f aca="false">IF(E27&lt;50000,"Low Income",IF(E27&lt;80000,"Middle Income",IF(E27&lt;100000,"Upper Middle","High Income")))</f>
        <v>Low Income</v>
      </c>
      <c r="N27" s="7" t="str">
        <f aca="false">IF(F27&lt;=3,"Poor",IF(F27&lt;=6,"Average",IF(F27&lt;=8,"Good","Excellent")))</f>
        <v>Poor</v>
      </c>
      <c r="O27" s="7" t="str">
        <f aca="false">IF(G27&lt;=3,"Poor",IF(G27&lt;=6,"Average",IF(G27&lt;=8,"Good","Excellent")))</f>
        <v>Poor</v>
      </c>
      <c r="P27" s="7" t="str">
        <f aca="false">IF(H27&lt;=5,"Low Frequency",IF(H27&lt;=10,"Moderate",IF(H27&lt;=15,"High","Very High")))</f>
        <v>Low Frequency</v>
      </c>
      <c r="Q27" s="7" t="str">
        <f aca="false">IF(K27&gt;=90,"Highly Satisfied",IF(K27&gt;=75,"Satisfied",IF(K27&gt;=60,"Neutral","Dissatisfied")))</f>
        <v>Dissatisfied</v>
      </c>
      <c r="R27" s="7" t="str">
        <f aca="false">UPPER(LEFT(TRIM(J27),1))&amp;LOWER(MID(TRIM(J27),2,100))</f>
        <v>Gold</v>
      </c>
      <c r="S27" s="7" t="str">
        <f aca="false">IF(I27="High","Positive",IF(I27="Medium","Neutral","Negative"))</f>
        <v>Negative</v>
      </c>
      <c r="T27" s="7" t="str">
        <f aca="false">IF(AND(E27&gt;=80000,H27&gt;=15),"Premium",IF(AND(E27&gt;=50000,H27&gt;=10),"Standard","Basic"))</f>
        <v>Basic</v>
      </c>
      <c r="U27" s="7" t="str">
        <f aca="false">IF(AND(F27&gt;=7,G27&gt;=7),"High Quality Experience","Review Needed")</f>
        <v>Review Needed</v>
      </c>
      <c r="V27" s="7" t="str">
        <f aca="false">IF(H27&gt;=10,"Repeat Buyer","Occasional Buyer")</f>
        <v>Occasional Buyer</v>
      </c>
      <c r="W27" s="7" t="str">
        <f aca="false">IF(AND(K27&lt;70,I27="Low"),"At Risk","Stable")</f>
        <v>At Risk</v>
      </c>
      <c r="X27" s="7" t="str">
        <f aca="false">IF(AND(K27&lt;75,I27="Low",J27="Bronze"),"Priority Followup","No Action")</f>
        <v>No Action</v>
      </c>
    </row>
    <row r="28" customFormat="false" ht="15" hidden="false" customHeight="false" outlineLevel="0" collapsed="false">
      <c r="A28" s="2" t="n">
        <v>26</v>
      </c>
      <c r="B28" s="2" t="n">
        <v>50</v>
      </c>
      <c r="C28" s="2" t="s">
        <v>11</v>
      </c>
      <c r="D28" s="2" t="s">
        <v>18</v>
      </c>
      <c r="E28" s="2" t="n">
        <v>116529</v>
      </c>
      <c r="F28" s="2" t="n">
        <v>1</v>
      </c>
      <c r="G28" s="2" t="n">
        <v>5</v>
      </c>
      <c r="H28" s="2" t="n">
        <v>18</v>
      </c>
      <c r="I28" s="2" t="s">
        <v>15</v>
      </c>
      <c r="J28" s="2" t="s">
        <v>19</v>
      </c>
      <c r="K28" s="2" t="n">
        <v>70.82</v>
      </c>
      <c r="L28" s="8" t="str">
        <f aca="false">IF(B28&lt;25,"Gen Z",IF(B28&lt;40,"Millennial",IF(B28&lt;55,"Gen X","Baby Boomer")))</f>
        <v>Gen X</v>
      </c>
      <c r="M28" s="8" t="str">
        <f aca="false">IF(E28&lt;50000,"Low Income",IF(E28&lt;80000,"Middle Income",IF(E28&lt;100000,"Upper Middle","High Income")))</f>
        <v>High Income</v>
      </c>
      <c r="N28" s="8" t="str">
        <f aca="false">IF(F28&lt;=3,"Poor",IF(F28&lt;=6,"Average",IF(F28&lt;=8,"Good","Excellent")))</f>
        <v>Poor</v>
      </c>
      <c r="O28" s="8" t="str">
        <f aca="false">IF(G28&lt;=3,"Poor",IF(G28&lt;=6,"Average",IF(G28&lt;=8,"Good","Excellent")))</f>
        <v>Average</v>
      </c>
      <c r="P28" s="8" t="str">
        <f aca="false">IF(H28&lt;=5,"Low Frequency",IF(H28&lt;=10,"Moderate",IF(H28&lt;=15,"High","Very High")))</f>
        <v>Very High</v>
      </c>
      <c r="Q28" s="8" t="str">
        <f aca="false">IF(K28&gt;=90,"Highly Satisfied",IF(K28&gt;=75,"Satisfied",IF(K28&gt;=60,"Neutral","Dissatisfied")))</f>
        <v>Neutral</v>
      </c>
      <c r="R28" s="8" t="str">
        <f aca="false">UPPER(LEFT(TRIM(J28),1))&amp;LOWER(MID(TRIM(J28),2,100))</f>
        <v>Silver</v>
      </c>
      <c r="S28" s="8" t="str">
        <f aca="false">IF(I28="High","Positive",IF(I28="Medium","Neutral","Negative"))</f>
        <v>Neutral</v>
      </c>
      <c r="T28" s="8" t="str">
        <f aca="false">IF(AND(E28&gt;=80000,H28&gt;=15),"Premium",IF(AND(E28&gt;=50000,H28&gt;=10),"Standard","Basic"))</f>
        <v>Premium</v>
      </c>
      <c r="U28" s="8" t="str">
        <f aca="false">IF(AND(F28&gt;=7,G28&gt;=7),"High Quality Experience","Review Needed")</f>
        <v>Review Needed</v>
      </c>
      <c r="V28" s="8" t="str">
        <f aca="false">IF(H28&gt;=10,"Repeat Buyer","Occasional Buyer")</f>
        <v>Repeat Buyer</v>
      </c>
      <c r="W28" s="8" t="str">
        <f aca="false">IF(AND(K28&lt;70,I28="Low"),"At Risk","Stable")</f>
        <v>Stable</v>
      </c>
      <c r="X28" s="8" t="str">
        <f aca="false">IF(AND(K28&lt;75,I28="Low",J28="Bronze"),"Priority Followup","No Action")</f>
        <v>No Action</v>
      </c>
    </row>
    <row r="29" customFormat="false" ht="15" hidden="false" customHeight="false" outlineLevel="0" collapsed="false">
      <c r="A29" s="3" t="n">
        <v>27</v>
      </c>
      <c r="B29" s="3" t="n">
        <v>29</v>
      </c>
      <c r="C29" s="3" t="s">
        <v>17</v>
      </c>
      <c r="D29" s="3" t="s">
        <v>23</v>
      </c>
      <c r="E29" s="3" t="n">
        <v>92619</v>
      </c>
      <c r="F29" s="3" t="n">
        <v>9</v>
      </c>
      <c r="G29" s="3" t="n">
        <v>8</v>
      </c>
      <c r="H29" s="3" t="n">
        <v>15</v>
      </c>
      <c r="I29" s="3" t="s">
        <v>13</v>
      </c>
      <c r="J29" s="3" t="s">
        <v>16</v>
      </c>
      <c r="K29" s="3" t="n">
        <v>100</v>
      </c>
      <c r="L29" s="7" t="str">
        <f aca="false">IF(B29&lt;25,"Gen Z",IF(B29&lt;40,"Millennial",IF(B29&lt;55,"Gen X","Baby Boomer")))</f>
        <v>Millennial</v>
      </c>
      <c r="M29" s="7" t="str">
        <f aca="false">IF(E29&lt;50000,"Low Income",IF(E29&lt;80000,"Middle Income",IF(E29&lt;100000,"Upper Middle","High Income")))</f>
        <v>Upper Middle</v>
      </c>
      <c r="N29" s="7" t="str">
        <f aca="false">IF(F29&lt;=3,"Poor",IF(F29&lt;=6,"Average",IF(F29&lt;=8,"Good","Excellent")))</f>
        <v>Excellent</v>
      </c>
      <c r="O29" s="7" t="str">
        <f aca="false">IF(G29&lt;=3,"Poor",IF(G29&lt;=6,"Average",IF(G29&lt;=8,"Good","Excellent")))</f>
        <v>Good</v>
      </c>
      <c r="P29" s="7" t="str">
        <f aca="false">IF(H29&lt;=5,"Low Frequency",IF(H29&lt;=10,"Moderate",IF(H29&lt;=15,"High","Very High")))</f>
        <v>High</v>
      </c>
      <c r="Q29" s="7" t="str">
        <f aca="false">IF(K29&gt;=90,"Highly Satisfied",IF(K29&gt;=75,"Satisfied",IF(K29&gt;=60,"Neutral","Dissatisfied")))</f>
        <v>Highly Satisfied</v>
      </c>
      <c r="R29" s="7" t="str">
        <f aca="false">UPPER(LEFT(TRIM(J29),1))&amp;LOWER(MID(TRIM(J29),2,100))</f>
        <v>Gold</v>
      </c>
      <c r="S29" s="7" t="str">
        <f aca="false">IF(I29="High","Positive",IF(I29="Medium","Neutral","Negative"))</f>
        <v>Negative</v>
      </c>
      <c r="T29" s="7" t="str">
        <f aca="false">IF(AND(E29&gt;=80000,H29&gt;=15),"Premium",IF(AND(E29&gt;=50000,H29&gt;=10),"Standard","Basic"))</f>
        <v>Premium</v>
      </c>
      <c r="U29" s="7" t="str">
        <f aca="false">IF(AND(F29&gt;=7,G29&gt;=7),"High Quality Experience","Review Needed")</f>
        <v>High Quality Experience</v>
      </c>
      <c r="V29" s="7" t="str">
        <f aca="false">IF(H29&gt;=10,"Repeat Buyer","Occasional Buyer")</f>
        <v>Repeat Buyer</v>
      </c>
      <c r="W29" s="7" t="str">
        <f aca="false">IF(AND(K29&lt;70,I29="Low"),"At Risk","Stable")</f>
        <v>Stable</v>
      </c>
      <c r="X29" s="7" t="str">
        <f aca="false">IF(AND(K29&lt;75,I29="Low",J29="Bronze"),"Priority Followup","No Action")</f>
        <v>No Action</v>
      </c>
    </row>
    <row r="30" customFormat="false" ht="15" hidden="false" customHeight="false" outlineLevel="0" collapsed="false">
      <c r="A30" s="2" t="n">
        <v>28</v>
      </c>
      <c r="B30" s="2" t="n">
        <v>39</v>
      </c>
      <c r="C30" s="2" t="s">
        <v>17</v>
      </c>
      <c r="D30" s="2" t="s">
        <v>23</v>
      </c>
      <c r="E30" s="2" t="n">
        <v>102225</v>
      </c>
      <c r="F30" s="2" t="n">
        <v>10</v>
      </c>
      <c r="G30" s="2" t="n">
        <v>4</v>
      </c>
      <c r="H30" s="2" t="n">
        <v>14</v>
      </c>
      <c r="I30" s="2" t="s">
        <v>13</v>
      </c>
      <c r="J30" s="2" t="s">
        <v>16</v>
      </c>
      <c r="K30" s="2" t="n">
        <v>100</v>
      </c>
      <c r="L30" s="8" t="str">
        <f aca="false">IF(B30&lt;25,"Gen Z",IF(B30&lt;40,"Millennial",IF(B30&lt;55,"Gen X","Baby Boomer")))</f>
        <v>Millennial</v>
      </c>
      <c r="M30" s="8" t="str">
        <f aca="false">IF(E30&lt;50000,"Low Income",IF(E30&lt;80000,"Middle Income",IF(E30&lt;100000,"Upper Middle","High Income")))</f>
        <v>High Income</v>
      </c>
      <c r="N30" s="8" t="str">
        <f aca="false">IF(F30&lt;=3,"Poor",IF(F30&lt;=6,"Average",IF(F30&lt;=8,"Good","Excellent")))</f>
        <v>Excellent</v>
      </c>
      <c r="O30" s="8" t="str">
        <f aca="false">IF(G30&lt;=3,"Poor",IF(G30&lt;=6,"Average",IF(G30&lt;=8,"Good","Excellent")))</f>
        <v>Average</v>
      </c>
      <c r="P30" s="8" t="str">
        <f aca="false">IF(H30&lt;=5,"Low Frequency",IF(H30&lt;=10,"Moderate",IF(H30&lt;=15,"High","Very High")))</f>
        <v>High</v>
      </c>
      <c r="Q30" s="8" t="str">
        <f aca="false">IF(K30&gt;=90,"Highly Satisfied",IF(K30&gt;=75,"Satisfied",IF(K30&gt;=60,"Neutral","Dissatisfied")))</f>
        <v>Highly Satisfied</v>
      </c>
      <c r="R30" s="8" t="str">
        <f aca="false">UPPER(LEFT(TRIM(J30),1))&amp;LOWER(MID(TRIM(J30),2,100))</f>
        <v>Gold</v>
      </c>
      <c r="S30" s="8" t="str">
        <f aca="false">IF(I30="High","Positive",IF(I30="Medium","Neutral","Negative"))</f>
        <v>Negative</v>
      </c>
      <c r="T30" s="8" t="str">
        <f aca="false">IF(AND(E30&gt;=80000,H30&gt;=15),"Premium",IF(AND(E30&gt;=50000,H30&gt;=10),"Standard","Basic"))</f>
        <v>Standard</v>
      </c>
      <c r="U30" s="8" t="str">
        <f aca="false">IF(AND(F30&gt;=7,G30&gt;=7),"High Quality Experience","Review Needed")</f>
        <v>Review Needed</v>
      </c>
      <c r="V30" s="8" t="str">
        <f aca="false">IF(H30&gt;=10,"Repeat Buyer","Occasional Buyer")</f>
        <v>Repeat Buyer</v>
      </c>
      <c r="W30" s="8" t="str">
        <f aca="false">IF(AND(K30&lt;70,I30="Low"),"At Risk","Stable")</f>
        <v>Stable</v>
      </c>
      <c r="X30" s="8" t="str">
        <f aca="false">IF(AND(K30&lt;75,I30="Low",J30="Bronze"),"Priority Followup","No Action")</f>
        <v>No Action</v>
      </c>
    </row>
    <row r="31" customFormat="false" ht="15" hidden="false" customHeight="false" outlineLevel="0" collapsed="false">
      <c r="A31" s="3" t="n">
        <v>29</v>
      </c>
      <c r="B31" s="3" t="n">
        <v>61</v>
      </c>
      <c r="C31" s="3" t="s">
        <v>11</v>
      </c>
      <c r="D31" s="3" t="s">
        <v>23</v>
      </c>
      <c r="E31" s="3" t="n">
        <v>108541</v>
      </c>
      <c r="F31" s="3" t="n">
        <v>7</v>
      </c>
      <c r="G31" s="3" t="n">
        <v>1</v>
      </c>
      <c r="H31" s="3" t="n">
        <v>1</v>
      </c>
      <c r="I31" s="3" t="s">
        <v>15</v>
      </c>
      <c r="J31" s="3" t="s">
        <v>19</v>
      </c>
      <c r="K31" s="3" t="n">
        <v>75.74</v>
      </c>
      <c r="L31" s="7" t="str">
        <f aca="false">IF(B31&lt;25,"Gen Z",IF(B31&lt;40,"Millennial",IF(B31&lt;55,"Gen X","Baby Boomer")))</f>
        <v>Baby Boomer</v>
      </c>
      <c r="M31" s="7" t="str">
        <f aca="false">IF(E31&lt;50000,"Low Income",IF(E31&lt;80000,"Middle Income",IF(E31&lt;100000,"Upper Middle","High Income")))</f>
        <v>High Income</v>
      </c>
      <c r="N31" s="7" t="str">
        <f aca="false">IF(F31&lt;=3,"Poor",IF(F31&lt;=6,"Average",IF(F31&lt;=8,"Good","Excellent")))</f>
        <v>Good</v>
      </c>
      <c r="O31" s="7" t="str">
        <f aca="false">IF(G31&lt;=3,"Poor",IF(G31&lt;=6,"Average",IF(G31&lt;=8,"Good","Excellent")))</f>
        <v>Poor</v>
      </c>
      <c r="P31" s="7" t="str">
        <f aca="false">IF(H31&lt;=5,"Low Frequency",IF(H31&lt;=10,"Moderate",IF(H31&lt;=15,"High","Very High")))</f>
        <v>Low Frequency</v>
      </c>
      <c r="Q31" s="7" t="str">
        <f aca="false">IF(K31&gt;=90,"Highly Satisfied",IF(K31&gt;=75,"Satisfied",IF(K31&gt;=60,"Neutral","Dissatisfied")))</f>
        <v>Satisfied</v>
      </c>
      <c r="R31" s="7" t="str">
        <f aca="false">UPPER(LEFT(TRIM(J31),1))&amp;LOWER(MID(TRIM(J31),2,100))</f>
        <v>Silver</v>
      </c>
      <c r="S31" s="7" t="str">
        <f aca="false">IF(I31="High","Positive",IF(I31="Medium","Neutral","Negative"))</f>
        <v>Neutral</v>
      </c>
      <c r="T31" s="7" t="str">
        <f aca="false">IF(AND(E31&gt;=80000,H31&gt;=15),"Premium",IF(AND(E31&gt;=50000,H31&gt;=10),"Standard","Basic"))</f>
        <v>Basic</v>
      </c>
      <c r="U31" s="7" t="str">
        <f aca="false">IF(AND(F31&gt;=7,G31&gt;=7),"High Quality Experience","Review Needed")</f>
        <v>Review Needed</v>
      </c>
      <c r="V31" s="7" t="str">
        <f aca="false">IF(H31&gt;=10,"Repeat Buyer","Occasional Buyer")</f>
        <v>Occasional Buyer</v>
      </c>
      <c r="W31" s="7" t="str">
        <f aca="false">IF(AND(K31&lt;70,I31="Low"),"At Risk","Stable")</f>
        <v>Stable</v>
      </c>
      <c r="X31" s="7" t="str">
        <f aca="false">IF(AND(K31&lt;75,I31="Low",J31="Bronze"),"Priority Followup","No Action")</f>
        <v>No Action</v>
      </c>
    </row>
    <row r="32" customFormat="false" ht="15" hidden="false" customHeight="false" outlineLevel="0" collapsed="false">
      <c r="A32" s="2" t="n">
        <v>30</v>
      </c>
      <c r="B32" s="2" t="n">
        <v>42</v>
      </c>
      <c r="C32" s="2" t="s">
        <v>11</v>
      </c>
      <c r="D32" s="2" t="s">
        <v>20</v>
      </c>
      <c r="E32" s="2" t="n">
        <v>48768</v>
      </c>
      <c r="F32" s="2" t="n">
        <v>8</v>
      </c>
      <c r="G32" s="2" t="n">
        <v>8</v>
      </c>
      <c r="H32" s="2" t="n">
        <v>16</v>
      </c>
      <c r="I32" s="2" t="s">
        <v>21</v>
      </c>
      <c r="J32" s="2" t="s">
        <v>16</v>
      </c>
      <c r="K32" s="2" t="n">
        <v>100</v>
      </c>
      <c r="L32" s="8" t="str">
        <f aca="false">IF(B32&lt;25,"Gen Z",IF(B32&lt;40,"Millennial",IF(B32&lt;55,"Gen X","Baby Boomer")))</f>
        <v>Gen X</v>
      </c>
      <c r="M32" s="8" t="str">
        <f aca="false">IF(E32&lt;50000,"Low Income",IF(E32&lt;80000,"Middle Income",IF(E32&lt;100000,"Upper Middle","High Income")))</f>
        <v>Low Income</v>
      </c>
      <c r="N32" s="8" t="str">
        <f aca="false">IF(F32&lt;=3,"Poor",IF(F32&lt;=6,"Average",IF(F32&lt;=8,"Good","Excellent")))</f>
        <v>Good</v>
      </c>
      <c r="O32" s="8" t="str">
        <f aca="false">IF(G32&lt;=3,"Poor",IF(G32&lt;=6,"Average",IF(G32&lt;=8,"Good","Excellent")))</f>
        <v>Good</v>
      </c>
      <c r="P32" s="8" t="str">
        <f aca="false">IF(H32&lt;=5,"Low Frequency",IF(H32&lt;=10,"Moderate",IF(H32&lt;=15,"High","Very High")))</f>
        <v>Very High</v>
      </c>
      <c r="Q32" s="8" t="str">
        <f aca="false">IF(K32&gt;=90,"Highly Satisfied",IF(K32&gt;=75,"Satisfied",IF(K32&gt;=60,"Neutral","Dissatisfied")))</f>
        <v>Highly Satisfied</v>
      </c>
      <c r="R32" s="8" t="str">
        <f aca="false">UPPER(LEFT(TRIM(J32),1))&amp;LOWER(MID(TRIM(J32),2,100))</f>
        <v>Gold</v>
      </c>
      <c r="S32" s="8" t="str">
        <f aca="false">IF(I32="High","Positive",IF(I32="Medium","Neutral","Negative"))</f>
        <v>Positive</v>
      </c>
      <c r="T32" s="8" t="str">
        <f aca="false">IF(AND(E32&gt;=80000,H32&gt;=15),"Premium",IF(AND(E32&gt;=50000,H32&gt;=10),"Standard","Basic"))</f>
        <v>Basic</v>
      </c>
      <c r="U32" s="8" t="str">
        <f aca="false">IF(AND(F32&gt;=7,G32&gt;=7),"High Quality Experience","Review Needed")</f>
        <v>High Quality Experience</v>
      </c>
      <c r="V32" s="8" t="str">
        <f aca="false">IF(H32&gt;=10,"Repeat Buyer","Occasional Buyer")</f>
        <v>Repeat Buyer</v>
      </c>
      <c r="W32" s="8" t="str">
        <f aca="false">IF(AND(K32&lt;70,I32="Low"),"At Risk","Stable")</f>
        <v>Stable</v>
      </c>
      <c r="X32" s="8" t="str">
        <f aca="false">IF(AND(K32&lt;75,I32="Low",J32="Bronze"),"Priority Followup","No Action")</f>
        <v>No Action</v>
      </c>
    </row>
    <row r="33" customFormat="false" ht="15" hidden="false" customHeight="false" outlineLevel="0" collapsed="false">
      <c r="A33" s="3" t="n">
        <v>31</v>
      </c>
      <c r="B33" s="3" t="n">
        <v>66</v>
      </c>
      <c r="C33" s="3" t="s">
        <v>11</v>
      </c>
      <c r="D33" s="3" t="s">
        <v>18</v>
      </c>
      <c r="E33" s="3" t="n">
        <v>95975</v>
      </c>
      <c r="F33" s="3" t="n">
        <v>10</v>
      </c>
      <c r="G33" s="3" t="n">
        <v>7</v>
      </c>
      <c r="H33" s="3" t="n">
        <v>7</v>
      </c>
      <c r="I33" s="3" t="s">
        <v>15</v>
      </c>
      <c r="J33" s="3" t="s">
        <v>14</v>
      </c>
      <c r="K33" s="3" t="n">
        <v>100</v>
      </c>
      <c r="L33" s="7" t="str">
        <f aca="false">IF(B33&lt;25,"Gen Z",IF(B33&lt;40,"Millennial",IF(B33&lt;55,"Gen X","Baby Boomer")))</f>
        <v>Baby Boomer</v>
      </c>
      <c r="M33" s="7" t="str">
        <f aca="false">IF(E33&lt;50000,"Low Income",IF(E33&lt;80000,"Middle Income",IF(E33&lt;100000,"Upper Middle","High Income")))</f>
        <v>Upper Middle</v>
      </c>
      <c r="N33" s="7" t="str">
        <f aca="false">IF(F33&lt;=3,"Poor",IF(F33&lt;=6,"Average",IF(F33&lt;=8,"Good","Excellent")))</f>
        <v>Excellent</v>
      </c>
      <c r="O33" s="7" t="str">
        <f aca="false">IF(G33&lt;=3,"Poor",IF(G33&lt;=6,"Average",IF(G33&lt;=8,"Good","Excellent")))</f>
        <v>Good</v>
      </c>
      <c r="P33" s="7" t="str">
        <f aca="false">IF(H33&lt;=5,"Low Frequency",IF(H33&lt;=10,"Moderate",IF(H33&lt;=15,"High","Very High")))</f>
        <v>Moderate</v>
      </c>
      <c r="Q33" s="7" t="str">
        <f aca="false">IF(K33&gt;=90,"Highly Satisfied",IF(K33&gt;=75,"Satisfied",IF(K33&gt;=60,"Neutral","Dissatisfied")))</f>
        <v>Highly Satisfied</v>
      </c>
      <c r="R33" s="7" t="str">
        <f aca="false">UPPER(LEFT(TRIM(J33),1))&amp;LOWER(MID(TRIM(J33),2,100))</f>
        <v>Bronze</v>
      </c>
      <c r="S33" s="7" t="str">
        <f aca="false">IF(I33="High","Positive",IF(I33="Medium","Neutral","Negative"))</f>
        <v>Neutral</v>
      </c>
      <c r="T33" s="7" t="str">
        <f aca="false">IF(AND(E33&gt;=80000,H33&gt;=15),"Premium",IF(AND(E33&gt;=50000,H33&gt;=10),"Standard","Basic"))</f>
        <v>Basic</v>
      </c>
      <c r="U33" s="7" t="str">
        <f aca="false">IF(AND(F33&gt;=7,G33&gt;=7),"High Quality Experience","Review Needed")</f>
        <v>High Quality Experience</v>
      </c>
      <c r="V33" s="7" t="str">
        <f aca="false">IF(H33&gt;=10,"Repeat Buyer","Occasional Buyer")</f>
        <v>Occasional Buyer</v>
      </c>
      <c r="W33" s="7" t="str">
        <f aca="false">IF(AND(K33&lt;70,I33="Low"),"At Risk","Stable")</f>
        <v>Stable</v>
      </c>
      <c r="X33" s="7" t="str">
        <f aca="false">IF(AND(K33&lt;75,I33="Low",J33="Bronze"),"Priority Followup","No Action")</f>
        <v>No Action</v>
      </c>
    </row>
    <row r="34" customFormat="false" ht="15" hidden="false" customHeight="false" outlineLevel="0" collapsed="false">
      <c r="A34" s="2" t="n">
        <v>32</v>
      </c>
      <c r="B34" s="2" t="n">
        <v>44</v>
      </c>
      <c r="C34" s="2" t="s">
        <v>11</v>
      </c>
      <c r="D34" s="2" t="s">
        <v>23</v>
      </c>
      <c r="E34" s="2" t="n">
        <v>41604</v>
      </c>
      <c r="F34" s="2" t="n">
        <v>10</v>
      </c>
      <c r="G34" s="2" t="n">
        <v>9</v>
      </c>
      <c r="H34" s="2" t="n">
        <v>11</v>
      </c>
      <c r="I34" s="2" t="s">
        <v>15</v>
      </c>
      <c r="J34" s="2" t="s">
        <v>14</v>
      </c>
      <c r="K34" s="2" t="n">
        <v>100</v>
      </c>
      <c r="L34" s="8" t="str">
        <f aca="false">IF(B34&lt;25,"Gen Z",IF(B34&lt;40,"Millennial",IF(B34&lt;55,"Gen X","Baby Boomer")))</f>
        <v>Gen X</v>
      </c>
      <c r="M34" s="8" t="str">
        <f aca="false">IF(E34&lt;50000,"Low Income",IF(E34&lt;80000,"Middle Income",IF(E34&lt;100000,"Upper Middle","High Income")))</f>
        <v>Low Income</v>
      </c>
      <c r="N34" s="8" t="str">
        <f aca="false">IF(F34&lt;=3,"Poor",IF(F34&lt;=6,"Average",IF(F34&lt;=8,"Good","Excellent")))</f>
        <v>Excellent</v>
      </c>
      <c r="O34" s="8" t="str">
        <f aca="false">IF(G34&lt;=3,"Poor",IF(G34&lt;=6,"Average",IF(G34&lt;=8,"Good","Excellent")))</f>
        <v>Excellent</v>
      </c>
      <c r="P34" s="8" t="str">
        <f aca="false">IF(H34&lt;=5,"Low Frequency",IF(H34&lt;=10,"Moderate",IF(H34&lt;=15,"High","Very High")))</f>
        <v>High</v>
      </c>
      <c r="Q34" s="8" t="str">
        <f aca="false">IF(K34&gt;=90,"Highly Satisfied",IF(K34&gt;=75,"Satisfied",IF(K34&gt;=60,"Neutral","Dissatisfied")))</f>
        <v>Highly Satisfied</v>
      </c>
      <c r="R34" s="8" t="str">
        <f aca="false">UPPER(LEFT(TRIM(J34),1))&amp;LOWER(MID(TRIM(J34),2,100))</f>
        <v>Bronze</v>
      </c>
      <c r="S34" s="8" t="str">
        <f aca="false">IF(I34="High","Positive",IF(I34="Medium","Neutral","Negative"))</f>
        <v>Neutral</v>
      </c>
      <c r="T34" s="8" t="str">
        <f aca="false">IF(AND(E34&gt;=80000,H34&gt;=15),"Premium",IF(AND(E34&gt;=50000,H34&gt;=10),"Standard","Basic"))</f>
        <v>Basic</v>
      </c>
      <c r="U34" s="8" t="str">
        <f aca="false">IF(AND(F34&gt;=7,G34&gt;=7),"High Quality Experience","Review Needed")</f>
        <v>High Quality Experience</v>
      </c>
      <c r="V34" s="8" t="str">
        <f aca="false">IF(H34&gt;=10,"Repeat Buyer","Occasional Buyer")</f>
        <v>Repeat Buyer</v>
      </c>
      <c r="W34" s="8" t="str">
        <f aca="false">IF(AND(K34&lt;70,I34="Low"),"At Risk","Stable")</f>
        <v>Stable</v>
      </c>
      <c r="X34" s="8" t="str">
        <f aca="false">IF(AND(K34&lt;75,I34="Low",J34="Bronze"),"Priority Followup","No Action")</f>
        <v>No Action</v>
      </c>
    </row>
    <row r="35" customFormat="false" ht="15" hidden="false" customHeight="false" outlineLevel="0" collapsed="false">
      <c r="A35" s="3" t="n">
        <v>33</v>
      </c>
      <c r="B35" s="3" t="n">
        <v>59</v>
      </c>
      <c r="C35" s="3" t="s">
        <v>11</v>
      </c>
      <c r="D35" s="3" t="s">
        <v>12</v>
      </c>
      <c r="E35" s="3" t="n">
        <v>100739</v>
      </c>
      <c r="F35" s="3" t="n">
        <v>4</v>
      </c>
      <c r="G35" s="3" t="n">
        <v>8</v>
      </c>
      <c r="H35" s="3" t="n">
        <v>18</v>
      </c>
      <c r="I35" s="3" t="s">
        <v>15</v>
      </c>
      <c r="J35" s="3" t="s">
        <v>14</v>
      </c>
      <c r="K35" s="3" t="n">
        <v>100</v>
      </c>
      <c r="L35" s="7" t="str">
        <f aca="false">IF(B35&lt;25,"Gen Z",IF(B35&lt;40,"Millennial",IF(B35&lt;55,"Gen X","Baby Boomer")))</f>
        <v>Baby Boomer</v>
      </c>
      <c r="M35" s="7" t="str">
        <f aca="false">IF(E35&lt;50000,"Low Income",IF(E35&lt;80000,"Middle Income",IF(E35&lt;100000,"Upper Middle","High Income")))</f>
        <v>High Income</v>
      </c>
      <c r="N35" s="7" t="str">
        <f aca="false">IF(F35&lt;=3,"Poor",IF(F35&lt;=6,"Average",IF(F35&lt;=8,"Good","Excellent")))</f>
        <v>Average</v>
      </c>
      <c r="O35" s="7" t="str">
        <f aca="false">IF(G35&lt;=3,"Poor",IF(G35&lt;=6,"Average",IF(G35&lt;=8,"Good","Excellent")))</f>
        <v>Good</v>
      </c>
      <c r="P35" s="7" t="str">
        <f aca="false">IF(H35&lt;=5,"Low Frequency",IF(H35&lt;=10,"Moderate",IF(H35&lt;=15,"High","Very High")))</f>
        <v>Very High</v>
      </c>
      <c r="Q35" s="7" t="str">
        <f aca="false">IF(K35&gt;=90,"Highly Satisfied",IF(K35&gt;=75,"Satisfied",IF(K35&gt;=60,"Neutral","Dissatisfied")))</f>
        <v>Highly Satisfied</v>
      </c>
      <c r="R35" s="7" t="str">
        <f aca="false">UPPER(LEFT(TRIM(J35),1))&amp;LOWER(MID(TRIM(J35),2,100))</f>
        <v>Bronze</v>
      </c>
      <c r="S35" s="7" t="str">
        <f aca="false">IF(I35="High","Positive",IF(I35="Medium","Neutral","Negative"))</f>
        <v>Neutral</v>
      </c>
      <c r="T35" s="7" t="str">
        <f aca="false">IF(AND(E35&gt;=80000,H35&gt;=15),"Premium",IF(AND(E35&gt;=50000,H35&gt;=10),"Standard","Basic"))</f>
        <v>Premium</v>
      </c>
      <c r="U35" s="7" t="str">
        <f aca="false">IF(AND(F35&gt;=7,G35&gt;=7),"High Quality Experience","Review Needed")</f>
        <v>Review Needed</v>
      </c>
      <c r="V35" s="7" t="str">
        <f aca="false">IF(H35&gt;=10,"Repeat Buyer","Occasional Buyer")</f>
        <v>Repeat Buyer</v>
      </c>
      <c r="W35" s="7" t="str">
        <f aca="false">IF(AND(K35&lt;70,I35="Low"),"At Risk","Stable")</f>
        <v>Stable</v>
      </c>
      <c r="X35" s="7" t="str">
        <f aca="false">IF(AND(K35&lt;75,I35="Low",J35="Bronze"),"Priority Followup","No Action")</f>
        <v>No Action</v>
      </c>
    </row>
    <row r="36" customFormat="false" ht="15" hidden="false" customHeight="false" outlineLevel="0" collapsed="false">
      <c r="A36" s="2" t="n">
        <v>34</v>
      </c>
      <c r="B36" s="2" t="n">
        <v>45</v>
      </c>
      <c r="C36" s="2" t="s">
        <v>11</v>
      </c>
      <c r="D36" s="2" t="s">
        <v>23</v>
      </c>
      <c r="E36" s="2" t="n">
        <v>119278</v>
      </c>
      <c r="F36" s="2" t="n">
        <v>3</v>
      </c>
      <c r="G36" s="2" t="n">
        <v>7</v>
      </c>
      <c r="H36" s="2" t="n">
        <v>10</v>
      </c>
      <c r="I36" s="2" t="s">
        <v>21</v>
      </c>
      <c r="J36" s="2" t="s">
        <v>16</v>
      </c>
      <c r="K36" s="2" t="n">
        <v>100</v>
      </c>
      <c r="L36" s="8" t="str">
        <f aca="false">IF(B36&lt;25,"Gen Z",IF(B36&lt;40,"Millennial",IF(B36&lt;55,"Gen X","Baby Boomer")))</f>
        <v>Gen X</v>
      </c>
      <c r="M36" s="8" t="str">
        <f aca="false">IF(E36&lt;50000,"Low Income",IF(E36&lt;80000,"Middle Income",IF(E36&lt;100000,"Upper Middle","High Income")))</f>
        <v>High Income</v>
      </c>
      <c r="N36" s="8" t="str">
        <f aca="false">IF(F36&lt;=3,"Poor",IF(F36&lt;=6,"Average",IF(F36&lt;=8,"Good","Excellent")))</f>
        <v>Poor</v>
      </c>
      <c r="O36" s="8" t="str">
        <f aca="false">IF(G36&lt;=3,"Poor",IF(G36&lt;=6,"Average",IF(G36&lt;=8,"Good","Excellent")))</f>
        <v>Good</v>
      </c>
      <c r="P36" s="8" t="str">
        <f aca="false">IF(H36&lt;=5,"Low Frequency",IF(H36&lt;=10,"Moderate",IF(H36&lt;=15,"High","Very High")))</f>
        <v>Moderate</v>
      </c>
      <c r="Q36" s="8" t="str">
        <f aca="false">IF(K36&gt;=90,"Highly Satisfied",IF(K36&gt;=75,"Satisfied",IF(K36&gt;=60,"Neutral","Dissatisfied")))</f>
        <v>Highly Satisfied</v>
      </c>
      <c r="R36" s="8" t="str">
        <f aca="false">UPPER(LEFT(TRIM(J36),1))&amp;LOWER(MID(TRIM(J36),2,100))</f>
        <v>Gold</v>
      </c>
      <c r="S36" s="8" t="str">
        <f aca="false">IF(I36="High","Positive",IF(I36="Medium","Neutral","Negative"))</f>
        <v>Positive</v>
      </c>
      <c r="T36" s="8" t="str">
        <f aca="false">IF(AND(E36&gt;=80000,H36&gt;=15),"Premium",IF(AND(E36&gt;=50000,H36&gt;=10),"Standard","Basic"))</f>
        <v>Standard</v>
      </c>
      <c r="U36" s="8" t="str">
        <f aca="false">IF(AND(F36&gt;=7,G36&gt;=7),"High Quality Experience","Review Needed")</f>
        <v>Review Needed</v>
      </c>
      <c r="V36" s="8" t="str">
        <f aca="false">IF(H36&gt;=10,"Repeat Buyer","Occasional Buyer")</f>
        <v>Repeat Buyer</v>
      </c>
      <c r="W36" s="8" t="str">
        <f aca="false">IF(AND(K36&lt;70,I36="Low"),"At Risk","Stable")</f>
        <v>Stable</v>
      </c>
      <c r="X36" s="8" t="str">
        <f aca="false">IF(AND(K36&lt;75,I36="Low",J36="Bronze"),"Priority Followup","No Action")</f>
        <v>No Action</v>
      </c>
    </row>
    <row r="37" customFormat="false" ht="15" hidden="false" customHeight="false" outlineLevel="0" collapsed="false">
      <c r="A37" s="3" t="n">
        <v>35</v>
      </c>
      <c r="B37" s="3" t="n">
        <v>33</v>
      </c>
      <c r="C37" s="3" t="s">
        <v>17</v>
      </c>
      <c r="D37" s="3" t="s">
        <v>20</v>
      </c>
      <c r="E37" s="3" t="n">
        <v>112220</v>
      </c>
      <c r="F37" s="3" t="n">
        <v>5</v>
      </c>
      <c r="G37" s="3" t="n">
        <v>7</v>
      </c>
      <c r="H37" s="3" t="n">
        <v>17</v>
      </c>
      <c r="I37" s="3" t="s">
        <v>13</v>
      </c>
      <c r="J37" s="3" t="s">
        <v>19</v>
      </c>
      <c r="K37" s="3" t="n">
        <v>100</v>
      </c>
      <c r="L37" s="7" t="str">
        <f aca="false">IF(B37&lt;25,"Gen Z",IF(B37&lt;40,"Millennial",IF(B37&lt;55,"Gen X","Baby Boomer")))</f>
        <v>Millennial</v>
      </c>
      <c r="M37" s="7" t="str">
        <f aca="false">IF(E37&lt;50000,"Low Income",IF(E37&lt;80000,"Middle Income",IF(E37&lt;100000,"Upper Middle","High Income")))</f>
        <v>High Income</v>
      </c>
      <c r="N37" s="7" t="str">
        <f aca="false">IF(F37&lt;=3,"Poor",IF(F37&lt;=6,"Average",IF(F37&lt;=8,"Good","Excellent")))</f>
        <v>Average</v>
      </c>
      <c r="O37" s="7" t="str">
        <f aca="false">IF(G37&lt;=3,"Poor",IF(G37&lt;=6,"Average",IF(G37&lt;=8,"Good","Excellent")))</f>
        <v>Good</v>
      </c>
      <c r="P37" s="7" t="str">
        <f aca="false">IF(H37&lt;=5,"Low Frequency",IF(H37&lt;=10,"Moderate",IF(H37&lt;=15,"High","Very High")))</f>
        <v>Very High</v>
      </c>
      <c r="Q37" s="7" t="str">
        <f aca="false">IF(K37&gt;=90,"Highly Satisfied",IF(K37&gt;=75,"Satisfied",IF(K37&gt;=60,"Neutral","Dissatisfied")))</f>
        <v>Highly Satisfied</v>
      </c>
      <c r="R37" s="7" t="str">
        <f aca="false">UPPER(LEFT(TRIM(J37),1))&amp;LOWER(MID(TRIM(J37),2,100))</f>
        <v>Silver</v>
      </c>
      <c r="S37" s="7" t="str">
        <f aca="false">IF(I37="High","Positive",IF(I37="Medium","Neutral","Negative"))</f>
        <v>Negative</v>
      </c>
      <c r="T37" s="7" t="str">
        <f aca="false">IF(AND(E37&gt;=80000,H37&gt;=15),"Premium",IF(AND(E37&gt;=50000,H37&gt;=10),"Standard","Basic"))</f>
        <v>Premium</v>
      </c>
      <c r="U37" s="7" t="str">
        <f aca="false">IF(AND(F37&gt;=7,G37&gt;=7),"High Quality Experience","Review Needed")</f>
        <v>Review Needed</v>
      </c>
      <c r="V37" s="7" t="str">
        <f aca="false">IF(H37&gt;=10,"Repeat Buyer","Occasional Buyer")</f>
        <v>Repeat Buyer</v>
      </c>
      <c r="W37" s="7" t="str">
        <f aca="false">IF(AND(K37&lt;70,I37="Low"),"At Risk","Stable")</f>
        <v>Stable</v>
      </c>
      <c r="X37" s="7" t="str">
        <f aca="false">IF(AND(K37&lt;75,I37="Low",J37="Bronze"),"Priority Followup","No Action")</f>
        <v>No Action</v>
      </c>
    </row>
    <row r="38" customFormat="false" ht="15" hidden="false" customHeight="false" outlineLevel="0" collapsed="false">
      <c r="A38" s="2" t="n">
        <v>36</v>
      </c>
      <c r="B38" s="2" t="n">
        <v>32</v>
      </c>
      <c r="C38" s="2" t="s">
        <v>17</v>
      </c>
      <c r="D38" s="2" t="s">
        <v>12</v>
      </c>
      <c r="E38" s="2" t="n">
        <v>113282</v>
      </c>
      <c r="F38" s="2" t="n">
        <v>1</v>
      </c>
      <c r="G38" s="2" t="n">
        <v>10</v>
      </c>
      <c r="H38" s="2" t="n">
        <v>4</v>
      </c>
      <c r="I38" s="2" t="s">
        <v>21</v>
      </c>
      <c r="J38" s="2" t="s">
        <v>14</v>
      </c>
      <c r="K38" s="2" t="n">
        <v>100</v>
      </c>
      <c r="L38" s="8" t="str">
        <f aca="false">IF(B38&lt;25,"Gen Z",IF(B38&lt;40,"Millennial",IF(B38&lt;55,"Gen X","Baby Boomer")))</f>
        <v>Millennial</v>
      </c>
      <c r="M38" s="8" t="str">
        <f aca="false">IF(E38&lt;50000,"Low Income",IF(E38&lt;80000,"Middle Income",IF(E38&lt;100000,"Upper Middle","High Income")))</f>
        <v>High Income</v>
      </c>
      <c r="N38" s="8" t="str">
        <f aca="false">IF(F38&lt;=3,"Poor",IF(F38&lt;=6,"Average",IF(F38&lt;=8,"Good","Excellent")))</f>
        <v>Poor</v>
      </c>
      <c r="O38" s="8" t="str">
        <f aca="false">IF(G38&lt;=3,"Poor",IF(G38&lt;=6,"Average",IF(G38&lt;=8,"Good","Excellent")))</f>
        <v>Excellent</v>
      </c>
      <c r="P38" s="8" t="str">
        <f aca="false">IF(H38&lt;=5,"Low Frequency",IF(H38&lt;=10,"Moderate",IF(H38&lt;=15,"High","Very High")))</f>
        <v>Low Frequency</v>
      </c>
      <c r="Q38" s="8" t="str">
        <f aca="false">IF(K38&gt;=90,"Highly Satisfied",IF(K38&gt;=75,"Satisfied",IF(K38&gt;=60,"Neutral","Dissatisfied")))</f>
        <v>Highly Satisfied</v>
      </c>
      <c r="R38" s="8" t="str">
        <f aca="false">UPPER(LEFT(TRIM(J38),1))&amp;LOWER(MID(TRIM(J38),2,100))</f>
        <v>Bronze</v>
      </c>
      <c r="S38" s="8" t="str">
        <f aca="false">IF(I38="High","Positive",IF(I38="Medium","Neutral","Negative"))</f>
        <v>Positive</v>
      </c>
      <c r="T38" s="8" t="str">
        <f aca="false">IF(AND(E38&gt;=80000,H38&gt;=15),"Premium",IF(AND(E38&gt;=50000,H38&gt;=10),"Standard","Basic"))</f>
        <v>Basic</v>
      </c>
      <c r="U38" s="8" t="str">
        <f aca="false">IF(AND(F38&gt;=7,G38&gt;=7),"High Quality Experience","Review Needed")</f>
        <v>Review Needed</v>
      </c>
      <c r="V38" s="8" t="str">
        <f aca="false">IF(H38&gt;=10,"Repeat Buyer","Occasional Buyer")</f>
        <v>Occasional Buyer</v>
      </c>
      <c r="W38" s="8" t="str">
        <f aca="false">IF(AND(K38&lt;70,I38="Low"),"At Risk","Stable")</f>
        <v>Stable</v>
      </c>
      <c r="X38" s="8" t="str">
        <f aca="false">IF(AND(K38&lt;75,I38="Low",J38="Bronze"),"Priority Followup","No Action")</f>
        <v>No Action</v>
      </c>
    </row>
    <row r="39" customFormat="false" ht="15" hidden="false" customHeight="false" outlineLevel="0" collapsed="false">
      <c r="A39" s="3" t="n">
        <v>37</v>
      </c>
      <c r="B39" s="3" t="n">
        <v>64</v>
      </c>
      <c r="C39" s="3" t="s">
        <v>11</v>
      </c>
      <c r="D39" s="3" t="s">
        <v>22</v>
      </c>
      <c r="E39" s="3" t="n">
        <v>65286</v>
      </c>
      <c r="F39" s="3" t="n">
        <v>6</v>
      </c>
      <c r="G39" s="3" t="n">
        <v>1</v>
      </c>
      <c r="H39" s="3" t="n">
        <v>7</v>
      </c>
      <c r="I39" s="3" t="s">
        <v>13</v>
      </c>
      <c r="J39" s="3" t="s">
        <v>19</v>
      </c>
      <c r="K39" s="3" t="n">
        <v>88.16</v>
      </c>
      <c r="L39" s="7" t="str">
        <f aca="false">IF(B39&lt;25,"Gen Z",IF(B39&lt;40,"Millennial",IF(B39&lt;55,"Gen X","Baby Boomer")))</f>
        <v>Baby Boomer</v>
      </c>
      <c r="M39" s="7" t="str">
        <f aca="false">IF(E39&lt;50000,"Low Income",IF(E39&lt;80000,"Middle Income",IF(E39&lt;100000,"Upper Middle","High Income")))</f>
        <v>Middle Income</v>
      </c>
      <c r="N39" s="7" t="str">
        <f aca="false">IF(F39&lt;=3,"Poor",IF(F39&lt;=6,"Average",IF(F39&lt;=8,"Good","Excellent")))</f>
        <v>Average</v>
      </c>
      <c r="O39" s="7" t="str">
        <f aca="false">IF(G39&lt;=3,"Poor",IF(G39&lt;=6,"Average",IF(G39&lt;=8,"Good","Excellent")))</f>
        <v>Poor</v>
      </c>
      <c r="P39" s="7" t="str">
        <f aca="false">IF(H39&lt;=5,"Low Frequency",IF(H39&lt;=10,"Moderate",IF(H39&lt;=15,"High","Very High")))</f>
        <v>Moderate</v>
      </c>
      <c r="Q39" s="7" t="str">
        <f aca="false">IF(K39&gt;=90,"Highly Satisfied",IF(K39&gt;=75,"Satisfied",IF(K39&gt;=60,"Neutral","Dissatisfied")))</f>
        <v>Satisfied</v>
      </c>
      <c r="R39" s="7" t="str">
        <f aca="false">UPPER(LEFT(TRIM(J39),1))&amp;LOWER(MID(TRIM(J39),2,100))</f>
        <v>Silver</v>
      </c>
      <c r="S39" s="7" t="str">
        <f aca="false">IF(I39="High","Positive",IF(I39="Medium","Neutral","Negative"))</f>
        <v>Negative</v>
      </c>
      <c r="T39" s="7" t="str">
        <f aca="false">IF(AND(E39&gt;=80000,H39&gt;=15),"Premium",IF(AND(E39&gt;=50000,H39&gt;=10),"Standard","Basic"))</f>
        <v>Basic</v>
      </c>
      <c r="U39" s="7" t="str">
        <f aca="false">IF(AND(F39&gt;=7,G39&gt;=7),"High Quality Experience","Review Needed")</f>
        <v>Review Needed</v>
      </c>
      <c r="V39" s="7" t="str">
        <f aca="false">IF(H39&gt;=10,"Repeat Buyer","Occasional Buyer")</f>
        <v>Occasional Buyer</v>
      </c>
      <c r="W39" s="7" t="str">
        <f aca="false">IF(AND(K39&lt;70,I39="Low"),"At Risk","Stable")</f>
        <v>Stable</v>
      </c>
      <c r="X39" s="7" t="str">
        <f aca="false">IF(AND(K39&lt;75,I39="Low",J39="Bronze"),"Priority Followup","No Action")</f>
        <v>No Action</v>
      </c>
    </row>
    <row r="40" customFormat="false" ht="15" hidden="false" customHeight="false" outlineLevel="0" collapsed="false">
      <c r="A40" s="2" t="n">
        <v>38</v>
      </c>
      <c r="B40" s="2" t="n">
        <v>68</v>
      </c>
      <c r="C40" s="2" t="s">
        <v>17</v>
      </c>
      <c r="D40" s="2" t="s">
        <v>12</v>
      </c>
      <c r="E40" s="2" t="n">
        <v>40530</v>
      </c>
      <c r="F40" s="2" t="n">
        <v>1</v>
      </c>
      <c r="G40" s="2" t="n">
        <v>6</v>
      </c>
      <c r="H40" s="2" t="n">
        <v>17</v>
      </c>
      <c r="I40" s="2" t="s">
        <v>21</v>
      </c>
      <c r="J40" s="2" t="s">
        <v>14</v>
      </c>
      <c r="K40" s="2" t="n">
        <v>63.97</v>
      </c>
      <c r="L40" s="8" t="str">
        <f aca="false">IF(B40&lt;25,"Gen Z",IF(B40&lt;40,"Millennial",IF(B40&lt;55,"Gen X","Baby Boomer")))</f>
        <v>Baby Boomer</v>
      </c>
      <c r="M40" s="8" t="str">
        <f aca="false">IF(E40&lt;50000,"Low Income",IF(E40&lt;80000,"Middle Income",IF(E40&lt;100000,"Upper Middle","High Income")))</f>
        <v>Low Income</v>
      </c>
      <c r="N40" s="8" t="str">
        <f aca="false">IF(F40&lt;=3,"Poor",IF(F40&lt;=6,"Average",IF(F40&lt;=8,"Good","Excellent")))</f>
        <v>Poor</v>
      </c>
      <c r="O40" s="8" t="str">
        <f aca="false">IF(G40&lt;=3,"Poor",IF(G40&lt;=6,"Average",IF(G40&lt;=8,"Good","Excellent")))</f>
        <v>Average</v>
      </c>
      <c r="P40" s="8" t="str">
        <f aca="false">IF(H40&lt;=5,"Low Frequency",IF(H40&lt;=10,"Moderate",IF(H40&lt;=15,"High","Very High")))</f>
        <v>Very High</v>
      </c>
      <c r="Q40" s="8" t="str">
        <f aca="false">IF(K40&gt;=90,"Highly Satisfied",IF(K40&gt;=75,"Satisfied",IF(K40&gt;=60,"Neutral","Dissatisfied")))</f>
        <v>Neutral</v>
      </c>
      <c r="R40" s="8" t="str">
        <f aca="false">UPPER(LEFT(TRIM(J40),1))&amp;LOWER(MID(TRIM(J40),2,100))</f>
        <v>Bronze</v>
      </c>
      <c r="S40" s="8" t="str">
        <f aca="false">IF(I40="High","Positive",IF(I40="Medium","Neutral","Negative"))</f>
        <v>Positive</v>
      </c>
      <c r="T40" s="8" t="str">
        <f aca="false">IF(AND(E40&gt;=80000,H40&gt;=15),"Premium",IF(AND(E40&gt;=50000,H40&gt;=10),"Standard","Basic"))</f>
        <v>Basic</v>
      </c>
      <c r="U40" s="8" t="str">
        <f aca="false">IF(AND(F40&gt;=7,G40&gt;=7),"High Quality Experience","Review Needed")</f>
        <v>Review Needed</v>
      </c>
      <c r="V40" s="8" t="str">
        <f aca="false">IF(H40&gt;=10,"Repeat Buyer","Occasional Buyer")</f>
        <v>Repeat Buyer</v>
      </c>
      <c r="W40" s="8" t="str">
        <f aca="false">IF(AND(K40&lt;70,I40="Low"),"At Risk","Stable")</f>
        <v>Stable</v>
      </c>
      <c r="X40" s="8" t="str">
        <f aca="false">IF(AND(K40&lt;75,I40="Low",J40="Bronze"),"Priority Followup","No Action")</f>
        <v>No Action</v>
      </c>
    </row>
    <row r="41" customFormat="false" ht="15" hidden="false" customHeight="false" outlineLevel="0" collapsed="false">
      <c r="A41" s="3" t="n">
        <v>39</v>
      </c>
      <c r="B41" s="3" t="n">
        <v>61</v>
      </c>
      <c r="C41" s="3" t="s">
        <v>17</v>
      </c>
      <c r="D41" s="3" t="s">
        <v>22</v>
      </c>
      <c r="E41" s="3" t="n">
        <v>34580</v>
      </c>
      <c r="F41" s="3" t="n">
        <v>8</v>
      </c>
      <c r="G41" s="3" t="n">
        <v>9</v>
      </c>
      <c r="H41" s="3" t="n">
        <v>9</v>
      </c>
      <c r="I41" s="3" t="s">
        <v>21</v>
      </c>
      <c r="J41" s="3" t="s">
        <v>14</v>
      </c>
      <c r="K41" s="3" t="n">
        <v>100</v>
      </c>
      <c r="L41" s="7" t="str">
        <f aca="false">IF(B41&lt;25,"Gen Z",IF(B41&lt;40,"Millennial",IF(B41&lt;55,"Gen X","Baby Boomer")))</f>
        <v>Baby Boomer</v>
      </c>
      <c r="M41" s="7" t="str">
        <f aca="false">IF(E41&lt;50000,"Low Income",IF(E41&lt;80000,"Middle Income",IF(E41&lt;100000,"Upper Middle","High Income")))</f>
        <v>Low Income</v>
      </c>
      <c r="N41" s="7" t="str">
        <f aca="false">IF(F41&lt;=3,"Poor",IF(F41&lt;=6,"Average",IF(F41&lt;=8,"Good","Excellent")))</f>
        <v>Good</v>
      </c>
      <c r="O41" s="7" t="str">
        <f aca="false">IF(G41&lt;=3,"Poor",IF(G41&lt;=6,"Average",IF(G41&lt;=8,"Good","Excellent")))</f>
        <v>Excellent</v>
      </c>
      <c r="P41" s="7" t="str">
        <f aca="false">IF(H41&lt;=5,"Low Frequency",IF(H41&lt;=10,"Moderate",IF(H41&lt;=15,"High","Very High")))</f>
        <v>Moderate</v>
      </c>
      <c r="Q41" s="7" t="str">
        <f aca="false">IF(K41&gt;=90,"Highly Satisfied",IF(K41&gt;=75,"Satisfied",IF(K41&gt;=60,"Neutral","Dissatisfied")))</f>
        <v>Highly Satisfied</v>
      </c>
      <c r="R41" s="7" t="str">
        <f aca="false">UPPER(LEFT(TRIM(J41),1))&amp;LOWER(MID(TRIM(J41),2,100))</f>
        <v>Bronze</v>
      </c>
      <c r="S41" s="7" t="str">
        <f aca="false">IF(I41="High","Positive",IF(I41="Medium","Neutral","Negative"))</f>
        <v>Positive</v>
      </c>
      <c r="T41" s="7" t="str">
        <f aca="false">IF(AND(E41&gt;=80000,H41&gt;=15),"Premium",IF(AND(E41&gt;=50000,H41&gt;=10),"Standard","Basic"))</f>
        <v>Basic</v>
      </c>
      <c r="U41" s="7" t="str">
        <f aca="false">IF(AND(F41&gt;=7,G41&gt;=7),"High Quality Experience","Review Needed")</f>
        <v>High Quality Experience</v>
      </c>
      <c r="V41" s="7" t="str">
        <f aca="false">IF(H41&gt;=10,"Repeat Buyer","Occasional Buyer")</f>
        <v>Occasional Buyer</v>
      </c>
      <c r="W41" s="7" t="str">
        <f aca="false">IF(AND(K41&lt;70,I41="Low"),"At Risk","Stable")</f>
        <v>Stable</v>
      </c>
      <c r="X41" s="7" t="str">
        <f aca="false">IF(AND(K41&lt;75,I41="Low",J41="Bronze"),"Priority Followup","No Action")</f>
        <v>No Action</v>
      </c>
    </row>
    <row r="42" customFormat="false" ht="15" hidden="false" customHeight="false" outlineLevel="0" collapsed="false">
      <c r="A42" s="2" t="n">
        <v>40</v>
      </c>
      <c r="B42" s="2" t="n">
        <v>69</v>
      </c>
      <c r="C42" s="2" t="s">
        <v>11</v>
      </c>
      <c r="D42" s="2" t="s">
        <v>12</v>
      </c>
      <c r="E42" s="2" t="n">
        <v>75929</v>
      </c>
      <c r="F42" s="2" t="n">
        <v>5</v>
      </c>
      <c r="G42" s="2" t="n">
        <v>7</v>
      </c>
      <c r="H42" s="2" t="n">
        <v>3</v>
      </c>
      <c r="I42" s="2" t="s">
        <v>13</v>
      </c>
      <c r="J42" s="2" t="s">
        <v>14</v>
      </c>
      <c r="K42" s="2" t="n">
        <v>91.94</v>
      </c>
      <c r="L42" s="8" t="str">
        <f aca="false">IF(B42&lt;25,"Gen Z",IF(B42&lt;40,"Millennial",IF(B42&lt;55,"Gen X","Baby Boomer")))</f>
        <v>Baby Boomer</v>
      </c>
      <c r="M42" s="8" t="str">
        <f aca="false">IF(E42&lt;50000,"Low Income",IF(E42&lt;80000,"Middle Income",IF(E42&lt;100000,"Upper Middle","High Income")))</f>
        <v>Middle Income</v>
      </c>
      <c r="N42" s="8" t="str">
        <f aca="false">IF(F42&lt;=3,"Poor",IF(F42&lt;=6,"Average",IF(F42&lt;=8,"Good","Excellent")))</f>
        <v>Average</v>
      </c>
      <c r="O42" s="8" t="str">
        <f aca="false">IF(G42&lt;=3,"Poor",IF(G42&lt;=6,"Average",IF(G42&lt;=8,"Good","Excellent")))</f>
        <v>Good</v>
      </c>
      <c r="P42" s="8" t="str">
        <f aca="false">IF(H42&lt;=5,"Low Frequency",IF(H42&lt;=10,"Moderate",IF(H42&lt;=15,"High","Very High")))</f>
        <v>Low Frequency</v>
      </c>
      <c r="Q42" s="8" t="str">
        <f aca="false">IF(K42&gt;=90,"Highly Satisfied",IF(K42&gt;=75,"Satisfied",IF(K42&gt;=60,"Neutral","Dissatisfied")))</f>
        <v>Highly Satisfied</v>
      </c>
      <c r="R42" s="8" t="str">
        <f aca="false">UPPER(LEFT(TRIM(J42),1))&amp;LOWER(MID(TRIM(J42),2,100))</f>
        <v>Bronze</v>
      </c>
      <c r="S42" s="8" t="str">
        <f aca="false">IF(I42="High","Positive",IF(I42="Medium","Neutral","Negative"))</f>
        <v>Negative</v>
      </c>
      <c r="T42" s="8" t="str">
        <f aca="false">IF(AND(E42&gt;=80000,H42&gt;=15),"Premium",IF(AND(E42&gt;=50000,H42&gt;=10),"Standard","Basic"))</f>
        <v>Basic</v>
      </c>
      <c r="U42" s="8" t="str">
        <f aca="false">IF(AND(F42&gt;=7,G42&gt;=7),"High Quality Experience","Review Needed")</f>
        <v>Review Needed</v>
      </c>
      <c r="V42" s="8" t="str">
        <f aca="false">IF(H42&gt;=10,"Repeat Buyer","Occasional Buyer")</f>
        <v>Occasional Buyer</v>
      </c>
      <c r="W42" s="8" t="str">
        <f aca="false">IF(AND(K42&lt;70,I42="Low"),"At Risk","Stable")</f>
        <v>Stable</v>
      </c>
      <c r="X42" s="8" t="str">
        <f aca="false">IF(AND(K42&lt;75,I42="Low",J42="Bronze"),"Priority Followup","No Action")</f>
        <v>No Action</v>
      </c>
    </row>
    <row r="43" customFormat="false" ht="15" hidden="false" customHeight="false" outlineLevel="0" collapsed="false">
      <c r="A43" s="3" t="n">
        <v>41</v>
      </c>
      <c r="B43" s="3" t="n">
        <v>20</v>
      </c>
      <c r="C43" s="3" t="s">
        <v>11</v>
      </c>
      <c r="D43" s="3" t="s">
        <v>18</v>
      </c>
      <c r="E43" s="3" t="n">
        <v>112595</v>
      </c>
      <c r="F43" s="3" t="n">
        <v>10</v>
      </c>
      <c r="G43" s="3" t="n">
        <v>5</v>
      </c>
      <c r="H43" s="3" t="n">
        <v>13</v>
      </c>
      <c r="I43" s="3" t="s">
        <v>15</v>
      </c>
      <c r="J43" s="3" t="s">
        <v>16</v>
      </c>
      <c r="K43" s="3" t="n">
        <v>100</v>
      </c>
      <c r="L43" s="7" t="str">
        <f aca="false">IF(B43&lt;25,"Gen Z",IF(B43&lt;40,"Millennial",IF(B43&lt;55,"Gen X","Baby Boomer")))</f>
        <v>Gen Z</v>
      </c>
      <c r="M43" s="7" t="str">
        <f aca="false">IF(E43&lt;50000,"Low Income",IF(E43&lt;80000,"Middle Income",IF(E43&lt;100000,"Upper Middle","High Income")))</f>
        <v>High Income</v>
      </c>
      <c r="N43" s="7" t="str">
        <f aca="false">IF(F43&lt;=3,"Poor",IF(F43&lt;=6,"Average",IF(F43&lt;=8,"Good","Excellent")))</f>
        <v>Excellent</v>
      </c>
      <c r="O43" s="7" t="str">
        <f aca="false">IF(G43&lt;=3,"Poor",IF(G43&lt;=6,"Average",IF(G43&lt;=8,"Good","Excellent")))</f>
        <v>Average</v>
      </c>
      <c r="P43" s="7" t="str">
        <f aca="false">IF(H43&lt;=5,"Low Frequency",IF(H43&lt;=10,"Moderate",IF(H43&lt;=15,"High","Very High")))</f>
        <v>High</v>
      </c>
      <c r="Q43" s="7" t="str">
        <f aca="false">IF(K43&gt;=90,"Highly Satisfied",IF(K43&gt;=75,"Satisfied",IF(K43&gt;=60,"Neutral","Dissatisfied")))</f>
        <v>Highly Satisfied</v>
      </c>
      <c r="R43" s="7" t="str">
        <f aca="false">UPPER(LEFT(TRIM(J43),1))&amp;LOWER(MID(TRIM(J43),2,100))</f>
        <v>Gold</v>
      </c>
      <c r="S43" s="7" t="str">
        <f aca="false">IF(I43="High","Positive",IF(I43="Medium","Neutral","Negative"))</f>
        <v>Neutral</v>
      </c>
      <c r="T43" s="7" t="str">
        <f aca="false">IF(AND(E43&gt;=80000,H43&gt;=15),"Premium",IF(AND(E43&gt;=50000,H43&gt;=10),"Standard","Basic"))</f>
        <v>Standard</v>
      </c>
      <c r="U43" s="7" t="str">
        <f aca="false">IF(AND(F43&gt;=7,G43&gt;=7),"High Quality Experience","Review Needed")</f>
        <v>Review Needed</v>
      </c>
      <c r="V43" s="7" t="str">
        <f aca="false">IF(H43&gt;=10,"Repeat Buyer","Occasional Buyer")</f>
        <v>Repeat Buyer</v>
      </c>
      <c r="W43" s="7" t="str">
        <f aca="false">IF(AND(K43&lt;70,I43="Low"),"At Risk","Stable")</f>
        <v>Stable</v>
      </c>
      <c r="X43" s="7" t="str">
        <f aca="false">IF(AND(K43&lt;75,I43="Low",J43="Bronze"),"Priority Followup","No Action")</f>
        <v>No Action</v>
      </c>
    </row>
    <row r="44" customFormat="false" ht="15" hidden="false" customHeight="false" outlineLevel="0" collapsed="false">
      <c r="A44" s="2" t="n">
        <v>42</v>
      </c>
      <c r="B44" s="2" t="n">
        <v>54</v>
      </c>
      <c r="C44" s="2" t="s">
        <v>17</v>
      </c>
      <c r="D44" s="2" t="s">
        <v>12</v>
      </c>
      <c r="E44" s="2" t="n">
        <v>37897</v>
      </c>
      <c r="F44" s="2" t="n">
        <v>7</v>
      </c>
      <c r="G44" s="2" t="n">
        <v>1</v>
      </c>
      <c r="H44" s="2" t="n">
        <v>20</v>
      </c>
      <c r="I44" s="2" t="s">
        <v>13</v>
      </c>
      <c r="J44" s="2" t="s">
        <v>14</v>
      </c>
      <c r="K44" s="2" t="n">
        <v>72.89</v>
      </c>
      <c r="L44" s="8" t="str">
        <f aca="false">IF(B44&lt;25,"Gen Z",IF(B44&lt;40,"Millennial",IF(B44&lt;55,"Gen X","Baby Boomer")))</f>
        <v>Gen X</v>
      </c>
      <c r="M44" s="8" t="str">
        <f aca="false">IF(E44&lt;50000,"Low Income",IF(E44&lt;80000,"Middle Income",IF(E44&lt;100000,"Upper Middle","High Income")))</f>
        <v>Low Income</v>
      </c>
      <c r="N44" s="8" t="str">
        <f aca="false">IF(F44&lt;=3,"Poor",IF(F44&lt;=6,"Average",IF(F44&lt;=8,"Good","Excellent")))</f>
        <v>Good</v>
      </c>
      <c r="O44" s="8" t="str">
        <f aca="false">IF(G44&lt;=3,"Poor",IF(G44&lt;=6,"Average",IF(G44&lt;=8,"Good","Excellent")))</f>
        <v>Poor</v>
      </c>
      <c r="P44" s="8" t="str">
        <f aca="false">IF(H44&lt;=5,"Low Frequency",IF(H44&lt;=10,"Moderate",IF(H44&lt;=15,"High","Very High")))</f>
        <v>Very High</v>
      </c>
      <c r="Q44" s="8" t="str">
        <f aca="false">IF(K44&gt;=90,"Highly Satisfied",IF(K44&gt;=75,"Satisfied",IF(K44&gt;=60,"Neutral","Dissatisfied")))</f>
        <v>Neutral</v>
      </c>
      <c r="R44" s="8" t="str">
        <f aca="false">UPPER(LEFT(TRIM(J44),1))&amp;LOWER(MID(TRIM(J44),2,100))</f>
        <v>Bronze</v>
      </c>
      <c r="S44" s="8" t="str">
        <f aca="false">IF(I44="High","Positive",IF(I44="Medium","Neutral","Negative"))</f>
        <v>Negative</v>
      </c>
      <c r="T44" s="8" t="str">
        <f aca="false">IF(AND(E44&gt;=80000,H44&gt;=15),"Premium",IF(AND(E44&gt;=50000,H44&gt;=10),"Standard","Basic"))</f>
        <v>Basic</v>
      </c>
      <c r="U44" s="8" t="str">
        <f aca="false">IF(AND(F44&gt;=7,G44&gt;=7),"High Quality Experience","Review Needed")</f>
        <v>Review Needed</v>
      </c>
      <c r="V44" s="8" t="str">
        <f aca="false">IF(H44&gt;=10,"Repeat Buyer","Occasional Buyer")</f>
        <v>Repeat Buyer</v>
      </c>
      <c r="W44" s="8" t="str">
        <f aca="false">IF(AND(K44&lt;70,I44="Low"),"At Risk","Stable")</f>
        <v>Stable</v>
      </c>
      <c r="X44" s="8" t="str">
        <f aca="false">IF(AND(K44&lt;75,I44="Low",J44="Bronze"),"Priority Followup","No Action")</f>
        <v>Priority Followup</v>
      </c>
    </row>
    <row r="45" customFormat="false" ht="15" hidden="false" customHeight="false" outlineLevel="0" collapsed="false">
      <c r="A45" s="3" t="n">
        <v>43</v>
      </c>
      <c r="B45" s="3" t="n">
        <v>68</v>
      </c>
      <c r="C45" s="3" t="s">
        <v>17</v>
      </c>
      <c r="D45" s="3" t="s">
        <v>23</v>
      </c>
      <c r="E45" s="3" t="n">
        <v>87990</v>
      </c>
      <c r="F45" s="3" t="n">
        <v>4</v>
      </c>
      <c r="G45" s="3" t="n">
        <v>10</v>
      </c>
      <c r="H45" s="3" t="n">
        <v>20</v>
      </c>
      <c r="I45" s="3" t="s">
        <v>21</v>
      </c>
      <c r="J45" s="3" t="s">
        <v>14</v>
      </c>
      <c r="K45" s="3" t="n">
        <v>100</v>
      </c>
      <c r="L45" s="7" t="str">
        <f aca="false">IF(B45&lt;25,"Gen Z",IF(B45&lt;40,"Millennial",IF(B45&lt;55,"Gen X","Baby Boomer")))</f>
        <v>Baby Boomer</v>
      </c>
      <c r="M45" s="7" t="str">
        <f aca="false">IF(E45&lt;50000,"Low Income",IF(E45&lt;80000,"Middle Income",IF(E45&lt;100000,"Upper Middle","High Income")))</f>
        <v>Upper Middle</v>
      </c>
      <c r="N45" s="7" t="str">
        <f aca="false">IF(F45&lt;=3,"Poor",IF(F45&lt;=6,"Average",IF(F45&lt;=8,"Good","Excellent")))</f>
        <v>Average</v>
      </c>
      <c r="O45" s="7" t="str">
        <f aca="false">IF(G45&lt;=3,"Poor",IF(G45&lt;=6,"Average",IF(G45&lt;=8,"Good","Excellent")))</f>
        <v>Excellent</v>
      </c>
      <c r="P45" s="7" t="str">
        <f aca="false">IF(H45&lt;=5,"Low Frequency",IF(H45&lt;=10,"Moderate",IF(H45&lt;=15,"High","Very High")))</f>
        <v>Very High</v>
      </c>
      <c r="Q45" s="7" t="str">
        <f aca="false">IF(K45&gt;=90,"Highly Satisfied",IF(K45&gt;=75,"Satisfied",IF(K45&gt;=60,"Neutral","Dissatisfied")))</f>
        <v>Highly Satisfied</v>
      </c>
      <c r="R45" s="7" t="str">
        <f aca="false">UPPER(LEFT(TRIM(J45),1))&amp;LOWER(MID(TRIM(J45),2,100))</f>
        <v>Bronze</v>
      </c>
      <c r="S45" s="7" t="str">
        <f aca="false">IF(I45="High","Positive",IF(I45="Medium","Neutral","Negative"))</f>
        <v>Positive</v>
      </c>
      <c r="T45" s="7" t="str">
        <f aca="false">IF(AND(E45&gt;=80000,H45&gt;=15),"Premium",IF(AND(E45&gt;=50000,H45&gt;=10),"Standard","Basic"))</f>
        <v>Premium</v>
      </c>
      <c r="U45" s="7" t="str">
        <f aca="false">IF(AND(F45&gt;=7,G45&gt;=7),"High Quality Experience","Review Needed")</f>
        <v>Review Needed</v>
      </c>
      <c r="V45" s="7" t="str">
        <f aca="false">IF(H45&gt;=10,"Repeat Buyer","Occasional Buyer")</f>
        <v>Repeat Buyer</v>
      </c>
      <c r="W45" s="7" t="str">
        <f aca="false">IF(AND(K45&lt;70,I45="Low"),"At Risk","Stable")</f>
        <v>Stable</v>
      </c>
      <c r="X45" s="7" t="str">
        <f aca="false">IF(AND(K45&lt;75,I45="Low",J45="Bronze"),"Priority Followup","No Action")</f>
        <v>No Action</v>
      </c>
    </row>
    <row r="46" customFormat="false" ht="15" hidden="false" customHeight="false" outlineLevel="0" collapsed="false">
      <c r="A46" s="2" t="n">
        <v>44</v>
      </c>
      <c r="B46" s="2" t="n">
        <v>24</v>
      </c>
      <c r="C46" s="2" t="s">
        <v>17</v>
      </c>
      <c r="D46" s="2" t="s">
        <v>22</v>
      </c>
      <c r="E46" s="2" t="n">
        <v>91060</v>
      </c>
      <c r="F46" s="2" t="n">
        <v>5</v>
      </c>
      <c r="G46" s="2" t="n">
        <v>6</v>
      </c>
      <c r="H46" s="2" t="n">
        <v>5</v>
      </c>
      <c r="I46" s="2" t="s">
        <v>13</v>
      </c>
      <c r="J46" s="2" t="s">
        <v>19</v>
      </c>
      <c r="K46" s="2" t="n">
        <v>96.58</v>
      </c>
      <c r="L46" s="8" t="str">
        <f aca="false">IF(B46&lt;25,"Gen Z",IF(B46&lt;40,"Millennial",IF(B46&lt;55,"Gen X","Baby Boomer")))</f>
        <v>Gen Z</v>
      </c>
      <c r="M46" s="8" t="str">
        <f aca="false">IF(E46&lt;50000,"Low Income",IF(E46&lt;80000,"Middle Income",IF(E46&lt;100000,"Upper Middle","High Income")))</f>
        <v>Upper Middle</v>
      </c>
      <c r="N46" s="8" t="str">
        <f aca="false">IF(F46&lt;=3,"Poor",IF(F46&lt;=6,"Average",IF(F46&lt;=8,"Good","Excellent")))</f>
        <v>Average</v>
      </c>
      <c r="O46" s="8" t="str">
        <f aca="false">IF(G46&lt;=3,"Poor",IF(G46&lt;=6,"Average",IF(G46&lt;=8,"Good","Excellent")))</f>
        <v>Average</v>
      </c>
      <c r="P46" s="8" t="str">
        <f aca="false">IF(H46&lt;=5,"Low Frequency",IF(H46&lt;=10,"Moderate",IF(H46&lt;=15,"High","Very High")))</f>
        <v>Low Frequency</v>
      </c>
      <c r="Q46" s="8" t="str">
        <f aca="false">IF(K46&gt;=90,"Highly Satisfied",IF(K46&gt;=75,"Satisfied",IF(K46&gt;=60,"Neutral","Dissatisfied")))</f>
        <v>Highly Satisfied</v>
      </c>
      <c r="R46" s="8" t="str">
        <f aca="false">UPPER(LEFT(TRIM(J46),1))&amp;LOWER(MID(TRIM(J46),2,100))</f>
        <v>Silver</v>
      </c>
      <c r="S46" s="8" t="str">
        <f aca="false">IF(I46="High","Positive",IF(I46="Medium","Neutral","Negative"))</f>
        <v>Negative</v>
      </c>
      <c r="T46" s="8" t="str">
        <f aca="false">IF(AND(E46&gt;=80000,H46&gt;=15),"Premium",IF(AND(E46&gt;=50000,H46&gt;=10),"Standard","Basic"))</f>
        <v>Basic</v>
      </c>
      <c r="U46" s="8" t="str">
        <f aca="false">IF(AND(F46&gt;=7,G46&gt;=7),"High Quality Experience","Review Needed")</f>
        <v>Review Needed</v>
      </c>
      <c r="V46" s="8" t="str">
        <f aca="false">IF(H46&gt;=10,"Repeat Buyer","Occasional Buyer")</f>
        <v>Occasional Buyer</v>
      </c>
      <c r="W46" s="8" t="str">
        <f aca="false">IF(AND(K46&lt;70,I46="Low"),"At Risk","Stable")</f>
        <v>Stable</v>
      </c>
      <c r="X46" s="8" t="str">
        <f aca="false">IF(AND(K46&lt;75,I46="Low",J46="Bronze"),"Priority Followup","No Action")</f>
        <v>No Action</v>
      </c>
    </row>
    <row r="47" customFormat="false" ht="15" hidden="false" customHeight="false" outlineLevel="0" collapsed="false">
      <c r="A47" s="3" t="n">
        <v>45</v>
      </c>
      <c r="B47" s="3" t="n">
        <v>38</v>
      </c>
      <c r="C47" s="3" t="s">
        <v>11</v>
      </c>
      <c r="D47" s="3" t="s">
        <v>22</v>
      </c>
      <c r="E47" s="3" t="n">
        <v>110598</v>
      </c>
      <c r="F47" s="3" t="n">
        <v>2</v>
      </c>
      <c r="G47" s="3" t="n">
        <v>4</v>
      </c>
      <c r="H47" s="3" t="n">
        <v>2</v>
      </c>
      <c r="I47" s="3" t="s">
        <v>15</v>
      </c>
      <c r="J47" s="3" t="s">
        <v>19</v>
      </c>
      <c r="K47" s="3" t="n">
        <v>63.49</v>
      </c>
      <c r="L47" s="7" t="str">
        <f aca="false">IF(B47&lt;25,"Gen Z",IF(B47&lt;40,"Millennial",IF(B47&lt;55,"Gen X","Baby Boomer")))</f>
        <v>Millennial</v>
      </c>
      <c r="M47" s="7" t="str">
        <f aca="false">IF(E47&lt;50000,"Low Income",IF(E47&lt;80000,"Middle Income",IF(E47&lt;100000,"Upper Middle","High Income")))</f>
        <v>High Income</v>
      </c>
      <c r="N47" s="7" t="str">
        <f aca="false">IF(F47&lt;=3,"Poor",IF(F47&lt;=6,"Average",IF(F47&lt;=8,"Good","Excellent")))</f>
        <v>Poor</v>
      </c>
      <c r="O47" s="7" t="str">
        <f aca="false">IF(G47&lt;=3,"Poor",IF(G47&lt;=6,"Average",IF(G47&lt;=8,"Good","Excellent")))</f>
        <v>Average</v>
      </c>
      <c r="P47" s="7" t="str">
        <f aca="false">IF(H47&lt;=5,"Low Frequency",IF(H47&lt;=10,"Moderate",IF(H47&lt;=15,"High","Very High")))</f>
        <v>Low Frequency</v>
      </c>
      <c r="Q47" s="7" t="str">
        <f aca="false">IF(K47&gt;=90,"Highly Satisfied",IF(K47&gt;=75,"Satisfied",IF(K47&gt;=60,"Neutral","Dissatisfied")))</f>
        <v>Neutral</v>
      </c>
      <c r="R47" s="7" t="str">
        <f aca="false">UPPER(LEFT(TRIM(J47),1))&amp;LOWER(MID(TRIM(J47),2,100))</f>
        <v>Silver</v>
      </c>
      <c r="S47" s="7" t="str">
        <f aca="false">IF(I47="High","Positive",IF(I47="Medium","Neutral","Negative"))</f>
        <v>Neutral</v>
      </c>
      <c r="T47" s="7" t="str">
        <f aca="false">IF(AND(E47&gt;=80000,H47&gt;=15),"Premium",IF(AND(E47&gt;=50000,H47&gt;=10),"Standard","Basic"))</f>
        <v>Basic</v>
      </c>
      <c r="U47" s="7" t="str">
        <f aca="false">IF(AND(F47&gt;=7,G47&gt;=7),"High Quality Experience","Review Needed")</f>
        <v>Review Needed</v>
      </c>
      <c r="V47" s="7" t="str">
        <f aca="false">IF(H47&gt;=10,"Repeat Buyer","Occasional Buyer")</f>
        <v>Occasional Buyer</v>
      </c>
      <c r="W47" s="7" t="str">
        <f aca="false">IF(AND(K47&lt;70,I47="Low"),"At Risk","Stable")</f>
        <v>Stable</v>
      </c>
      <c r="X47" s="7" t="str">
        <f aca="false">IF(AND(K47&lt;75,I47="Low",J47="Bronze"),"Priority Followup","No Action")</f>
        <v>No Action</v>
      </c>
    </row>
    <row r="48" customFormat="false" ht="15" hidden="false" customHeight="false" outlineLevel="0" collapsed="false">
      <c r="A48" s="2" t="n">
        <v>46</v>
      </c>
      <c r="B48" s="2" t="n">
        <v>26</v>
      </c>
      <c r="C48" s="2" t="s">
        <v>17</v>
      </c>
      <c r="D48" s="2" t="s">
        <v>23</v>
      </c>
      <c r="E48" s="2" t="n">
        <v>40211</v>
      </c>
      <c r="F48" s="2" t="n">
        <v>7</v>
      </c>
      <c r="G48" s="2" t="n">
        <v>3</v>
      </c>
      <c r="H48" s="2" t="n">
        <v>18</v>
      </c>
      <c r="I48" s="2" t="s">
        <v>21</v>
      </c>
      <c r="J48" s="2" t="s">
        <v>19</v>
      </c>
      <c r="K48" s="2" t="n">
        <v>79.86</v>
      </c>
      <c r="L48" s="8" t="str">
        <f aca="false">IF(B48&lt;25,"Gen Z",IF(B48&lt;40,"Millennial",IF(B48&lt;55,"Gen X","Baby Boomer")))</f>
        <v>Millennial</v>
      </c>
      <c r="M48" s="8" t="str">
        <f aca="false">IF(E48&lt;50000,"Low Income",IF(E48&lt;80000,"Middle Income",IF(E48&lt;100000,"Upper Middle","High Income")))</f>
        <v>Low Income</v>
      </c>
      <c r="N48" s="8" t="str">
        <f aca="false">IF(F48&lt;=3,"Poor",IF(F48&lt;=6,"Average",IF(F48&lt;=8,"Good","Excellent")))</f>
        <v>Good</v>
      </c>
      <c r="O48" s="8" t="str">
        <f aca="false">IF(G48&lt;=3,"Poor",IF(G48&lt;=6,"Average",IF(G48&lt;=8,"Good","Excellent")))</f>
        <v>Poor</v>
      </c>
      <c r="P48" s="8" t="str">
        <f aca="false">IF(H48&lt;=5,"Low Frequency",IF(H48&lt;=10,"Moderate",IF(H48&lt;=15,"High","Very High")))</f>
        <v>Very High</v>
      </c>
      <c r="Q48" s="8" t="str">
        <f aca="false">IF(K48&gt;=90,"Highly Satisfied",IF(K48&gt;=75,"Satisfied",IF(K48&gt;=60,"Neutral","Dissatisfied")))</f>
        <v>Satisfied</v>
      </c>
      <c r="R48" s="8" t="str">
        <f aca="false">UPPER(LEFT(TRIM(J48),1))&amp;LOWER(MID(TRIM(J48),2,100))</f>
        <v>Silver</v>
      </c>
      <c r="S48" s="8" t="str">
        <f aca="false">IF(I48="High","Positive",IF(I48="Medium","Neutral","Negative"))</f>
        <v>Positive</v>
      </c>
      <c r="T48" s="8" t="str">
        <f aca="false">IF(AND(E48&gt;=80000,H48&gt;=15),"Premium",IF(AND(E48&gt;=50000,H48&gt;=10),"Standard","Basic"))</f>
        <v>Basic</v>
      </c>
      <c r="U48" s="8" t="str">
        <f aca="false">IF(AND(F48&gt;=7,G48&gt;=7),"High Quality Experience","Review Needed")</f>
        <v>Review Needed</v>
      </c>
      <c r="V48" s="8" t="str">
        <f aca="false">IF(H48&gt;=10,"Repeat Buyer","Occasional Buyer")</f>
        <v>Repeat Buyer</v>
      </c>
      <c r="W48" s="8" t="str">
        <f aca="false">IF(AND(K48&lt;70,I48="Low"),"At Risk","Stable")</f>
        <v>Stable</v>
      </c>
      <c r="X48" s="8" t="str">
        <f aca="false">IF(AND(K48&lt;75,I48="Low",J48="Bronze"),"Priority Followup","No Action")</f>
        <v>No Action</v>
      </c>
    </row>
    <row r="49" customFormat="false" ht="15" hidden="false" customHeight="false" outlineLevel="0" collapsed="false">
      <c r="A49" s="3" t="n">
        <v>47</v>
      </c>
      <c r="B49" s="3" t="n">
        <v>56</v>
      </c>
      <c r="C49" s="3" t="s">
        <v>11</v>
      </c>
      <c r="D49" s="3" t="s">
        <v>18</v>
      </c>
      <c r="E49" s="3" t="n">
        <v>36990</v>
      </c>
      <c r="F49" s="3" t="n">
        <v>9</v>
      </c>
      <c r="G49" s="3" t="n">
        <v>5</v>
      </c>
      <c r="H49" s="3" t="n">
        <v>7</v>
      </c>
      <c r="I49" s="3" t="s">
        <v>15</v>
      </c>
      <c r="J49" s="3" t="s">
        <v>19</v>
      </c>
      <c r="K49" s="3" t="n">
        <v>98.21</v>
      </c>
      <c r="L49" s="7" t="str">
        <f aca="false">IF(B49&lt;25,"Gen Z",IF(B49&lt;40,"Millennial",IF(B49&lt;55,"Gen X","Baby Boomer")))</f>
        <v>Baby Boomer</v>
      </c>
      <c r="M49" s="7" t="str">
        <f aca="false">IF(E49&lt;50000,"Low Income",IF(E49&lt;80000,"Middle Income",IF(E49&lt;100000,"Upper Middle","High Income")))</f>
        <v>Low Income</v>
      </c>
      <c r="N49" s="7" t="str">
        <f aca="false">IF(F49&lt;=3,"Poor",IF(F49&lt;=6,"Average",IF(F49&lt;=8,"Good","Excellent")))</f>
        <v>Excellent</v>
      </c>
      <c r="O49" s="7" t="str">
        <f aca="false">IF(G49&lt;=3,"Poor",IF(G49&lt;=6,"Average",IF(G49&lt;=8,"Good","Excellent")))</f>
        <v>Average</v>
      </c>
      <c r="P49" s="7" t="str">
        <f aca="false">IF(H49&lt;=5,"Low Frequency",IF(H49&lt;=10,"Moderate",IF(H49&lt;=15,"High","Very High")))</f>
        <v>Moderate</v>
      </c>
      <c r="Q49" s="7" t="str">
        <f aca="false">IF(K49&gt;=90,"Highly Satisfied",IF(K49&gt;=75,"Satisfied",IF(K49&gt;=60,"Neutral","Dissatisfied")))</f>
        <v>Highly Satisfied</v>
      </c>
      <c r="R49" s="7" t="str">
        <f aca="false">UPPER(LEFT(TRIM(J49),1))&amp;LOWER(MID(TRIM(J49),2,100))</f>
        <v>Silver</v>
      </c>
      <c r="S49" s="7" t="str">
        <f aca="false">IF(I49="High","Positive",IF(I49="Medium","Neutral","Negative"))</f>
        <v>Neutral</v>
      </c>
      <c r="T49" s="7" t="str">
        <f aca="false">IF(AND(E49&gt;=80000,H49&gt;=15),"Premium",IF(AND(E49&gt;=50000,H49&gt;=10),"Standard","Basic"))</f>
        <v>Basic</v>
      </c>
      <c r="U49" s="7" t="str">
        <f aca="false">IF(AND(F49&gt;=7,G49&gt;=7),"High Quality Experience","Review Needed")</f>
        <v>Review Needed</v>
      </c>
      <c r="V49" s="7" t="str">
        <f aca="false">IF(H49&gt;=10,"Repeat Buyer","Occasional Buyer")</f>
        <v>Occasional Buyer</v>
      </c>
      <c r="W49" s="7" t="str">
        <f aca="false">IF(AND(K49&lt;70,I49="Low"),"At Risk","Stable")</f>
        <v>Stable</v>
      </c>
      <c r="X49" s="7" t="str">
        <f aca="false">IF(AND(K49&lt;75,I49="Low",J49="Bronze"),"Priority Followup","No Action")</f>
        <v>No Action</v>
      </c>
    </row>
    <row r="50" customFormat="false" ht="15" hidden="false" customHeight="false" outlineLevel="0" collapsed="false">
      <c r="A50" s="2" t="n">
        <v>48</v>
      </c>
      <c r="B50" s="2" t="n">
        <v>35</v>
      </c>
      <c r="C50" s="2" t="s">
        <v>11</v>
      </c>
      <c r="D50" s="2" t="s">
        <v>12</v>
      </c>
      <c r="E50" s="2" t="n">
        <v>55680</v>
      </c>
      <c r="F50" s="2" t="n">
        <v>7</v>
      </c>
      <c r="G50" s="2" t="n">
        <v>1</v>
      </c>
      <c r="H50" s="2" t="n">
        <v>3</v>
      </c>
      <c r="I50" s="2" t="s">
        <v>13</v>
      </c>
      <c r="J50" s="2" t="s">
        <v>19</v>
      </c>
      <c r="K50" s="2" t="n">
        <v>46.66</v>
      </c>
      <c r="L50" s="8" t="str">
        <f aca="false">IF(B50&lt;25,"Gen Z",IF(B50&lt;40,"Millennial",IF(B50&lt;55,"Gen X","Baby Boomer")))</f>
        <v>Millennial</v>
      </c>
      <c r="M50" s="8" t="str">
        <f aca="false">IF(E50&lt;50000,"Low Income",IF(E50&lt;80000,"Middle Income",IF(E50&lt;100000,"Upper Middle","High Income")))</f>
        <v>Middle Income</v>
      </c>
      <c r="N50" s="8" t="str">
        <f aca="false">IF(F50&lt;=3,"Poor",IF(F50&lt;=6,"Average",IF(F50&lt;=8,"Good","Excellent")))</f>
        <v>Good</v>
      </c>
      <c r="O50" s="8" t="str">
        <f aca="false">IF(G50&lt;=3,"Poor",IF(G50&lt;=6,"Average",IF(G50&lt;=8,"Good","Excellent")))</f>
        <v>Poor</v>
      </c>
      <c r="P50" s="8" t="str">
        <f aca="false">IF(H50&lt;=5,"Low Frequency",IF(H50&lt;=10,"Moderate",IF(H50&lt;=15,"High","Very High")))</f>
        <v>Low Frequency</v>
      </c>
      <c r="Q50" s="8" t="str">
        <f aca="false">IF(K50&gt;=90,"Highly Satisfied",IF(K50&gt;=75,"Satisfied",IF(K50&gt;=60,"Neutral","Dissatisfied")))</f>
        <v>Dissatisfied</v>
      </c>
      <c r="R50" s="8" t="str">
        <f aca="false">UPPER(LEFT(TRIM(J50),1))&amp;LOWER(MID(TRIM(J50),2,100))</f>
        <v>Silver</v>
      </c>
      <c r="S50" s="8" t="str">
        <f aca="false">IF(I50="High","Positive",IF(I50="Medium","Neutral","Negative"))</f>
        <v>Negative</v>
      </c>
      <c r="T50" s="8" t="str">
        <f aca="false">IF(AND(E50&gt;=80000,H50&gt;=15),"Premium",IF(AND(E50&gt;=50000,H50&gt;=10),"Standard","Basic"))</f>
        <v>Basic</v>
      </c>
      <c r="U50" s="8" t="str">
        <f aca="false">IF(AND(F50&gt;=7,G50&gt;=7),"High Quality Experience","Review Needed")</f>
        <v>Review Needed</v>
      </c>
      <c r="V50" s="8" t="str">
        <f aca="false">IF(H50&gt;=10,"Repeat Buyer","Occasional Buyer")</f>
        <v>Occasional Buyer</v>
      </c>
      <c r="W50" s="8" t="str">
        <f aca="false">IF(AND(K50&lt;70,I50="Low"),"At Risk","Stable")</f>
        <v>At Risk</v>
      </c>
      <c r="X50" s="8" t="str">
        <f aca="false">IF(AND(K50&lt;75,I50="Low",J50="Bronze"),"Priority Followup","No Action")</f>
        <v>No Action</v>
      </c>
    </row>
    <row r="51" customFormat="false" ht="15" hidden="false" customHeight="false" outlineLevel="0" collapsed="false">
      <c r="A51" s="3" t="n">
        <v>49</v>
      </c>
      <c r="B51" s="3" t="n">
        <v>21</v>
      </c>
      <c r="C51" s="3" t="s">
        <v>17</v>
      </c>
      <c r="D51" s="3" t="s">
        <v>18</v>
      </c>
      <c r="E51" s="3" t="n">
        <v>54175</v>
      </c>
      <c r="F51" s="3" t="n">
        <v>4</v>
      </c>
      <c r="G51" s="3" t="n">
        <v>7</v>
      </c>
      <c r="H51" s="3" t="n">
        <v>5</v>
      </c>
      <c r="I51" s="3" t="s">
        <v>13</v>
      </c>
      <c r="J51" s="3" t="s">
        <v>14</v>
      </c>
      <c r="K51" s="3" t="n">
        <v>86.36</v>
      </c>
      <c r="L51" s="7" t="str">
        <f aca="false">IF(B51&lt;25,"Gen Z",IF(B51&lt;40,"Millennial",IF(B51&lt;55,"Gen X","Baby Boomer")))</f>
        <v>Gen Z</v>
      </c>
      <c r="M51" s="7" t="str">
        <f aca="false">IF(E51&lt;50000,"Low Income",IF(E51&lt;80000,"Middle Income",IF(E51&lt;100000,"Upper Middle","High Income")))</f>
        <v>Middle Income</v>
      </c>
      <c r="N51" s="7" t="str">
        <f aca="false">IF(F51&lt;=3,"Poor",IF(F51&lt;=6,"Average",IF(F51&lt;=8,"Good","Excellent")))</f>
        <v>Average</v>
      </c>
      <c r="O51" s="7" t="str">
        <f aca="false">IF(G51&lt;=3,"Poor",IF(G51&lt;=6,"Average",IF(G51&lt;=8,"Good","Excellent")))</f>
        <v>Good</v>
      </c>
      <c r="P51" s="7" t="str">
        <f aca="false">IF(H51&lt;=5,"Low Frequency",IF(H51&lt;=10,"Moderate",IF(H51&lt;=15,"High","Very High")))</f>
        <v>Low Frequency</v>
      </c>
      <c r="Q51" s="7" t="str">
        <f aca="false">IF(K51&gt;=90,"Highly Satisfied",IF(K51&gt;=75,"Satisfied",IF(K51&gt;=60,"Neutral","Dissatisfied")))</f>
        <v>Satisfied</v>
      </c>
      <c r="R51" s="7" t="str">
        <f aca="false">UPPER(LEFT(TRIM(J51),1))&amp;LOWER(MID(TRIM(J51),2,100))</f>
        <v>Bronze</v>
      </c>
      <c r="S51" s="7" t="str">
        <f aca="false">IF(I51="High","Positive",IF(I51="Medium","Neutral","Negative"))</f>
        <v>Negative</v>
      </c>
      <c r="T51" s="7" t="str">
        <f aca="false">IF(AND(E51&gt;=80000,H51&gt;=15),"Premium",IF(AND(E51&gt;=50000,H51&gt;=10),"Standard","Basic"))</f>
        <v>Basic</v>
      </c>
      <c r="U51" s="7" t="str">
        <f aca="false">IF(AND(F51&gt;=7,G51&gt;=7),"High Quality Experience","Review Needed")</f>
        <v>Review Needed</v>
      </c>
      <c r="V51" s="7" t="str">
        <f aca="false">IF(H51&gt;=10,"Repeat Buyer","Occasional Buyer")</f>
        <v>Occasional Buyer</v>
      </c>
      <c r="W51" s="7" t="str">
        <f aca="false">IF(AND(K51&lt;70,I51="Low"),"At Risk","Stable")</f>
        <v>Stable</v>
      </c>
      <c r="X51" s="7" t="str">
        <f aca="false">IF(AND(K51&lt;75,I51="Low",J51="Bronze"),"Priority Followup","No Action")</f>
        <v>No Action</v>
      </c>
    </row>
    <row r="52" customFormat="false" ht="15" hidden="false" customHeight="false" outlineLevel="0" collapsed="false">
      <c r="A52" s="2" t="n">
        <v>50</v>
      </c>
      <c r="B52" s="2" t="n">
        <v>42</v>
      </c>
      <c r="C52" s="2" t="s">
        <v>11</v>
      </c>
      <c r="D52" s="2" t="s">
        <v>23</v>
      </c>
      <c r="E52" s="2" t="n">
        <v>111018</v>
      </c>
      <c r="F52" s="2" t="n">
        <v>8</v>
      </c>
      <c r="G52" s="2" t="n">
        <v>3</v>
      </c>
      <c r="H52" s="2" t="n">
        <v>20</v>
      </c>
      <c r="I52" s="2" t="s">
        <v>15</v>
      </c>
      <c r="J52" s="2" t="s">
        <v>16</v>
      </c>
      <c r="K52" s="2" t="n">
        <v>100</v>
      </c>
      <c r="L52" s="8" t="str">
        <f aca="false">IF(B52&lt;25,"Gen Z",IF(B52&lt;40,"Millennial",IF(B52&lt;55,"Gen X","Baby Boomer")))</f>
        <v>Gen X</v>
      </c>
      <c r="M52" s="8" t="str">
        <f aca="false">IF(E52&lt;50000,"Low Income",IF(E52&lt;80000,"Middle Income",IF(E52&lt;100000,"Upper Middle","High Income")))</f>
        <v>High Income</v>
      </c>
      <c r="N52" s="8" t="str">
        <f aca="false">IF(F52&lt;=3,"Poor",IF(F52&lt;=6,"Average",IF(F52&lt;=8,"Good","Excellent")))</f>
        <v>Good</v>
      </c>
      <c r="O52" s="8" t="str">
        <f aca="false">IF(G52&lt;=3,"Poor",IF(G52&lt;=6,"Average",IF(G52&lt;=8,"Good","Excellent")))</f>
        <v>Poor</v>
      </c>
      <c r="P52" s="8" t="str">
        <f aca="false">IF(H52&lt;=5,"Low Frequency",IF(H52&lt;=10,"Moderate",IF(H52&lt;=15,"High","Very High")))</f>
        <v>Very High</v>
      </c>
      <c r="Q52" s="8" t="str">
        <f aca="false">IF(K52&gt;=90,"Highly Satisfied",IF(K52&gt;=75,"Satisfied",IF(K52&gt;=60,"Neutral","Dissatisfied")))</f>
        <v>Highly Satisfied</v>
      </c>
      <c r="R52" s="8" t="str">
        <f aca="false">UPPER(LEFT(TRIM(J52),1))&amp;LOWER(MID(TRIM(J52),2,100))</f>
        <v>Gold</v>
      </c>
      <c r="S52" s="8" t="str">
        <f aca="false">IF(I52="High","Positive",IF(I52="Medium","Neutral","Negative"))</f>
        <v>Neutral</v>
      </c>
      <c r="T52" s="8" t="str">
        <f aca="false">IF(AND(E52&gt;=80000,H52&gt;=15),"Premium",IF(AND(E52&gt;=50000,H52&gt;=10),"Standard","Basic"))</f>
        <v>Premium</v>
      </c>
      <c r="U52" s="8" t="str">
        <f aca="false">IF(AND(F52&gt;=7,G52&gt;=7),"High Quality Experience","Review Needed")</f>
        <v>Review Needed</v>
      </c>
      <c r="V52" s="8" t="str">
        <f aca="false">IF(H52&gt;=10,"Repeat Buyer","Occasional Buyer")</f>
        <v>Repeat Buyer</v>
      </c>
      <c r="W52" s="8" t="str">
        <f aca="false">IF(AND(K52&lt;70,I52="Low"),"At Risk","Stable")</f>
        <v>Stable</v>
      </c>
      <c r="X52" s="8" t="str">
        <f aca="false">IF(AND(K52&lt;75,I52="Low",J52="Bronze"),"Priority Followup","No Action")</f>
        <v>No Action</v>
      </c>
    </row>
    <row r="53" customFormat="false" ht="15" hidden="false" customHeight="false" outlineLevel="0" collapsed="false">
      <c r="A53" s="3" t="n">
        <v>51</v>
      </c>
      <c r="B53" s="3" t="n">
        <v>31</v>
      </c>
      <c r="C53" s="3" t="s">
        <v>11</v>
      </c>
      <c r="D53" s="3" t="s">
        <v>12</v>
      </c>
      <c r="E53" s="3" t="n">
        <v>43211</v>
      </c>
      <c r="F53" s="3" t="n">
        <v>6</v>
      </c>
      <c r="G53" s="3" t="n">
        <v>6</v>
      </c>
      <c r="H53" s="3" t="n">
        <v>11</v>
      </c>
      <c r="I53" s="3" t="s">
        <v>21</v>
      </c>
      <c r="J53" s="3" t="s">
        <v>14</v>
      </c>
      <c r="K53" s="3" t="n">
        <v>81.61</v>
      </c>
      <c r="L53" s="7" t="str">
        <f aca="false">IF(B53&lt;25,"Gen Z",IF(B53&lt;40,"Millennial",IF(B53&lt;55,"Gen X","Baby Boomer")))</f>
        <v>Millennial</v>
      </c>
      <c r="M53" s="7" t="str">
        <f aca="false">IF(E53&lt;50000,"Low Income",IF(E53&lt;80000,"Middle Income",IF(E53&lt;100000,"Upper Middle","High Income")))</f>
        <v>Low Income</v>
      </c>
      <c r="N53" s="7" t="str">
        <f aca="false">IF(F53&lt;=3,"Poor",IF(F53&lt;=6,"Average",IF(F53&lt;=8,"Good","Excellent")))</f>
        <v>Average</v>
      </c>
      <c r="O53" s="7" t="str">
        <f aca="false">IF(G53&lt;=3,"Poor",IF(G53&lt;=6,"Average",IF(G53&lt;=8,"Good","Excellent")))</f>
        <v>Average</v>
      </c>
      <c r="P53" s="7" t="str">
        <f aca="false">IF(H53&lt;=5,"Low Frequency",IF(H53&lt;=10,"Moderate",IF(H53&lt;=15,"High","Very High")))</f>
        <v>High</v>
      </c>
      <c r="Q53" s="7" t="str">
        <f aca="false">IF(K53&gt;=90,"Highly Satisfied",IF(K53&gt;=75,"Satisfied",IF(K53&gt;=60,"Neutral","Dissatisfied")))</f>
        <v>Satisfied</v>
      </c>
      <c r="R53" s="7" t="str">
        <f aca="false">UPPER(LEFT(TRIM(J53),1))&amp;LOWER(MID(TRIM(J53),2,100))</f>
        <v>Bronze</v>
      </c>
      <c r="S53" s="7" t="str">
        <f aca="false">IF(I53="High","Positive",IF(I53="Medium","Neutral","Negative"))</f>
        <v>Positive</v>
      </c>
      <c r="T53" s="7" t="str">
        <f aca="false">IF(AND(E53&gt;=80000,H53&gt;=15),"Premium",IF(AND(E53&gt;=50000,H53&gt;=10),"Standard","Basic"))</f>
        <v>Basic</v>
      </c>
      <c r="U53" s="7" t="str">
        <f aca="false">IF(AND(F53&gt;=7,G53&gt;=7),"High Quality Experience","Review Needed")</f>
        <v>Review Needed</v>
      </c>
      <c r="V53" s="7" t="str">
        <f aca="false">IF(H53&gt;=10,"Repeat Buyer","Occasional Buyer")</f>
        <v>Repeat Buyer</v>
      </c>
      <c r="W53" s="7" t="str">
        <f aca="false">IF(AND(K53&lt;70,I53="Low"),"At Risk","Stable")</f>
        <v>Stable</v>
      </c>
      <c r="X53" s="7" t="str">
        <f aca="false">IF(AND(K53&lt;75,I53="Low",J53="Bronze"),"Priority Followup","No Action")</f>
        <v>No Action</v>
      </c>
    </row>
    <row r="54" customFormat="false" ht="15" hidden="false" customHeight="false" outlineLevel="0" collapsed="false">
      <c r="A54" s="2" t="n">
        <v>52</v>
      </c>
      <c r="B54" s="2" t="n">
        <v>67</v>
      </c>
      <c r="C54" s="2" t="s">
        <v>11</v>
      </c>
      <c r="D54" s="2" t="s">
        <v>23</v>
      </c>
      <c r="E54" s="2" t="n">
        <v>114860</v>
      </c>
      <c r="F54" s="2" t="n">
        <v>6</v>
      </c>
      <c r="G54" s="2" t="n">
        <v>7</v>
      </c>
      <c r="H54" s="2" t="n">
        <v>12</v>
      </c>
      <c r="I54" s="2" t="s">
        <v>21</v>
      </c>
      <c r="J54" s="2" t="s">
        <v>14</v>
      </c>
      <c r="K54" s="2" t="n">
        <v>100</v>
      </c>
      <c r="L54" s="8" t="str">
        <f aca="false">IF(B54&lt;25,"Gen Z",IF(B54&lt;40,"Millennial",IF(B54&lt;55,"Gen X","Baby Boomer")))</f>
        <v>Baby Boomer</v>
      </c>
      <c r="M54" s="8" t="str">
        <f aca="false">IF(E54&lt;50000,"Low Income",IF(E54&lt;80000,"Middle Income",IF(E54&lt;100000,"Upper Middle","High Income")))</f>
        <v>High Income</v>
      </c>
      <c r="N54" s="8" t="str">
        <f aca="false">IF(F54&lt;=3,"Poor",IF(F54&lt;=6,"Average",IF(F54&lt;=8,"Good","Excellent")))</f>
        <v>Average</v>
      </c>
      <c r="O54" s="8" t="str">
        <f aca="false">IF(G54&lt;=3,"Poor",IF(G54&lt;=6,"Average",IF(G54&lt;=8,"Good","Excellent")))</f>
        <v>Good</v>
      </c>
      <c r="P54" s="8" t="str">
        <f aca="false">IF(H54&lt;=5,"Low Frequency",IF(H54&lt;=10,"Moderate",IF(H54&lt;=15,"High","Very High")))</f>
        <v>High</v>
      </c>
      <c r="Q54" s="8" t="str">
        <f aca="false">IF(K54&gt;=90,"Highly Satisfied",IF(K54&gt;=75,"Satisfied",IF(K54&gt;=60,"Neutral","Dissatisfied")))</f>
        <v>Highly Satisfied</v>
      </c>
      <c r="R54" s="8" t="str">
        <f aca="false">UPPER(LEFT(TRIM(J54),1))&amp;LOWER(MID(TRIM(J54),2,100))</f>
        <v>Bronze</v>
      </c>
      <c r="S54" s="8" t="str">
        <f aca="false">IF(I54="High","Positive",IF(I54="Medium","Neutral","Negative"))</f>
        <v>Positive</v>
      </c>
      <c r="T54" s="8" t="str">
        <f aca="false">IF(AND(E54&gt;=80000,H54&gt;=15),"Premium",IF(AND(E54&gt;=50000,H54&gt;=10),"Standard","Basic"))</f>
        <v>Standard</v>
      </c>
      <c r="U54" s="8" t="str">
        <f aca="false">IF(AND(F54&gt;=7,G54&gt;=7),"High Quality Experience","Review Needed")</f>
        <v>Review Needed</v>
      </c>
      <c r="V54" s="8" t="str">
        <f aca="false">IF(H54&gt;=10,"Repeat Buyer","Occasional Buyer")</f>
        <v>Repeat Buyer</v>
      </c>
      <c r="W54" s="8" t="str">
        <f aca="false">IF(AND(K54&lt;70,I54="Low"),"At Risk","Stable")</f>
        <v>Stable</v>
      </c>
      <c r="X54" s="8" t="str">
        <f aca="false">IF(AND(K54&lt;75,I54="Low",J54="Bronze"),"Priority Followup","No Action")</f>
        <v>No Action</v>
      </c>
    </row>
    <row r="55" customFormat="false" ht="15" hidden="false" customHeight="false" outlineLevel="0" collapsed="false">
      <c r="A55" s="3" t="n">
        <v>53</v>
      </c>
      <c r="B55" s="3" t="n">
        <v>26</v>
      </c>
      <c r="C55" s="3" t="s">
        <v>17</v>
      </c>
      <c r="D55" s="3" t="s">
        <v>22</v>
      </c>
      <c r="E55" s="3" t="n">
        <v>57358</v>
      </c>
      <c r="F55" s="3" t="n">
        <v>3</v>
      </c>
      <c r="G55" s="3" t="n">
        <v>4</v>
      </c>
      <c r="H55" s="3" t="n">
        <v>19</v>
      </c>
      <c r="I55" s="3" t="s">
        <v>21</v>
      </c>
      <c r="J55" s="3" t="s">
        <v>19</v>
      </c>
      <c r="K55" s="3" t="n">
        <v>63.75</v>
      </c>
      <c r="L55" s="7" t="str">
        <f aca="false">IF(B55&lt;25,"Gen Z",IF(B55&lt;40,"Millennial",IF(B55&lt;55,"Gen X","Baby Boomer")))</f>
        <v>Millennial</v>
      </c>
      <c r="M55" s="7" t="str">
        <f aca="false">IF(E55&lt;50000,"Low Income",IF(E55&lt;80000,"Middle Income",IF(E55&lt;100000,"Upper Middle","High Income")))</f>
        <v>Middle Income</v>
      </c>
      <c r="N55" s="7" t="str">
        <f aca="false">IF(F55&lt;=3,"Poor",IF(F55&lt;=6,"Average",IF(F55&lt;=8,"Good","Excellent")))</f>
        <v>Poor</v>
      </c>
      <c r="O55" s="7" t="str">
        <f aca="false">IF(G55&lt;=3,"Poor",IF(G55&lt;=6,"Average",IF(G55&lt;=8,"Good","Excellent")))</f>
        <v>Average</v>
      </c>
      <c r="P55" s="7" t="str">
        <f aca="false">IF(H55&lt;=5,"Low Frequency",IF(H55&lt;=10,"Moderate",IF(H55&lt;=15,"High","Very High")))</f>
        <v>Very High</v>
      </c>
      <c r="Q55" s="7" t="str">
        <f aca="false">IF(K55&gt;=90,"Highly Satisfied",IF(K55&gt;=75,"Satisfied",IF(K55&gt;=60,"Neutral","Dissatisfied")))</f>
        <v>Neutral</v>
      </c>
      <c r="R55" s="7" t="str">
        <f aca="false">UPPER(LEFT(TRIM(J55),1))&amp;LOWER(MID(TRIM(J55),2,100))</f>
        <v>Silver</v>
      </c>
      <c r="S55" s="7" t="str">
        <f aca="false">IF(I55="High","Positive",IF(I55="Medium","Neutral","Negative"))</f>
        <v>Positive</v>
      </c>
      <c r="T55" s="7" t="str">
        <f aca="false">IF(AND(E55&gt;=80000,H55&gt;=15),"Premium",IF(AND(E55&gt;=50000,H55&gt;=10),"Standard","Basic"))</f>
        <v>Standard</v>
      </c>
      <c r="U55" s="7" t="str">
        <f aca="false">IF(AND(F55&gt;=7,G55&gt;=7),"High Quality Experience","Review Needed")</f>
        <v>Review Needed</v>
      </c>
      <c r="V55" s="7" t="str">
        <f aca="false">IF(H55&gt;=10,"Repeat Buyer","Occasional Buyer")</f>
        <v>Repeat Buyer</v>
      </c>
      <c r="W55" s="7" t="str">
        <f aca="false">IF(AND(K55&lt;70,I55="Low"),"At Risk","Stable")</f>
        <v>Stable</v>
      </c>
      <c r="X55" s="7" t="str">
        <f aca="false">IF(AND(K55&lt;75,I55="Low",J55="Bronze"),"Priority Followup","No Action")</f>
        <v>No Action</v>
      </c>
    </row>
    <row r="56" customFormat="false" ht="15" hidden="false" customHeight="false" outlineLevel="0" collapsed="false">
      <c r="A56" s="2" t="n">
        <v>54</v>
      </c>
      <c r="B56" s="2" t="n">
        <v>43</v>
      </c>
      <c r="C56" s="2" t="s">
        <v>17</v>
      </c>
      <c r="D56" s="2" t="s">
        <v>22</v>
      </c>
      <c r="E56" s="2" t="n">
        <v>54191</v>
      </c>
      <c r="F56" s="2" t="n">
        <v>2</v>
      </c>
      <c r="G56" s="2" t="n">
        <v>7</v>
      </c>
      <c r="H56" s="2" t="n">
        <v>18</v>
      </c>
      <c r="I56" s="2" t="s">
        <v>13</v>
      </c>
      <c r="J56" s="2" t="s">
        <v>16</v>
      </c>
      <c r="K56" s="2" t="n">
        <v>94.73</v>
      </c>
      <c r="L56" s="8" t="str">
        <f aca="false">IF(B56&lt;25,"Gen Z",IF(B56&lt;40,"Millennial",IF(B56&lt;55,"Gen X","Baby Boomer")))</f>
        <v>Gen X</v>
      </c>
      <c r="M56" s="8" t="str">
        <f aca="false">IF(E56&lt;50000,"Low Income",IF(E56&lt;80000,"Middle Income",IF(E56&lt;100000,"Upper Middle","High Income")))</f>
        <v>Middle Income</v>
      </c>
      <c r="N56" s="8" t="str">
        <f aca="false">IF(F56&lt;=3,"Poor",IF(F56&lt;=6,"Average",IF(F56&lt;=8,"Good","Excellent")))</f>
        <v>Poor</v>
      </c>
      <c r="O56" s="8" t="str">
        <f aca="false">IF(G56&lt;=3,"Poor",IF(G56&lt;=6,"Average",IF(G56&lt;=8,"Good","Excellent")))</f>
        <v>Good</v>
      </c>
      <c r="P56" s="8" t="str">
        <f aca="false">IF(H56&lt;=5,"Low Frequency",IF(H56&lt;=10,"Moderate",IF(H56&lt;=15,"High","Very High")))</f>
        <v>Very High</v>
      </c>
      <c r="Q56" s="8" t="str">
        <f aca="false">IF(K56&gt;=90,"Highly Satisfied",IF(K56&gt;=75,"Satisfied",IF(K56&gt;=60,"Neutral","Dissatisfied")))</f>
        <v>Highly Satisfied</v>
      </c>
      <c r="R56" s="8" t="str">
        <f aca="false">UPPER(LEFT(TRIM(J56),1))&amp;LOWER(MID(TRIM(J56),2,100))</f>
        <v>Gold</v>
      </c>
      <c r="S56" s="8" t="str">
        <f aca="false">IF(I56="High","Positive",IF(I56="Medium","Neutral","Negative"))</f>
        <v>Negative</v>
      </c>
      <c r="T56" s="8" t="str">
        <f aca="false">IF(AND(E56&gt;=80000,H56&gt;=15),"Premium",IF(AND(E56&gt;=50000,H56&gt;=10),"Standard","Basic"))</f>
        <v>Standard</v>
      </c>
      <c r="U56" s="8" t="str">
        <f aca="false">IF(AND(F56&gt;=7,G56&gt;=7),"High Quality Experience","Review Needed")</f>
        <v>Review Needed</v>
      </c>
      <c r="V56" s="8" t="str">
        <f aca="false">IF(H56&gt;=10,"Repeat Buyer","Occasional Buyer")</f>
        <v>Repeat Buyer</v>
      </c>
      <c r="W56" s="8" t="str">
        <f aca="false">IF(AND(K56&lt;70,I56="Low"),"At Risk","Stable")</f>
        <v>Stable</v>
      </c>
      <c r="X56" s="8" t="str">
        <f aca="false">IF(AND(K56&lt;75,I56="Low",J56="Bronze"),"Priority Followup","No Action")</f>
        <v>No Action</v>
      </c>
    </row>
    <row r="57" customFormat="false" ht="15" hidden="false" customHeight="false" outlineLevel="0" collapsed="false">
      <c r="A57" s="3" t="n">
        <v>55</v>
      </c>
      <c r="B57" s="3" t="n">
        <v>19</v>
      </c>
      <c r="C57" s="3" t="s">
        <v>17</v>
      </c>
      <c r="D57" s="3" t="s">
        <v>22</v>
      </c>
      <c r="E57" s="3" t="n">
        <v>99965</v>
      </c>
      <c r="F57" s="3" t="n">
        <v>3</v>
      </c>
      <c r="G57" s="3" t="n">
        <v>10</v>
      </c>
      <c r="H57" s="3" t="n">
        <v>4</v>
      </c>
      <c r="I57" s="3" t="s">
        <v>21</v>
      </c>
      <c r="J57" s="3" t="s">
        <v>16</v>
      </c>
      <c r="K57" s="3" t="n">
        <v>100</v>
      </c>
      <c r="L57" s="7" t="str">
        <f aca="false">IF(B57&lt;25,"Gen Z",IF(B57&lt;40,"Millennial",IF(B57&lt;55,"Gen X","Baby Boomer")))</f>
        <v>Gen Z</v>
      </c>
      <c r="M57" s="7" t="str">
        <f aca="false">IF(E57&lt;50000,"Low Income",IF(E57&lt;80000,"Middle Income",IF(E57&lt;100000,"Upper Middle","High Income")))</f>
        <v>Upper Middle</v>
      </c>
      <c r="N57" s="7" t="str">
        <f aca="false">IF(F57&lt;=3,"Poor",IF(F57&lt;=6,"Average",IF(F57&lt;=8,"Good","Excellent")))</f>
        <v>Poor</v>
      </c>
      <c r="O57" s="7" t="str">
        <f aca="false">IF(G57&lt;=3,"Poor",IF(G57&lt;=6,"Average",IF(G57&lt;=8,"Good","Excellent")))</f>
        <v>Excellent</v>
      </c>
      <c r="P57" s="7" t="str">
        <f aca="false">IF(H57&lt;=5,"Low Frequency",IF(H57&lt;=10,"Moderate",IF(H57&lt;=15,"High","Very High")))</f>
        <v>Low Frequency</v>
      </c>
      <c r="Q57" s="7" t="str">
        <f aca="false">IF(K57&gt;=90,"Highly Satisfied",IF(K57&gt;=75,"Satisfied",IF(K57&gt;=60,"Neutral","Dissatisfied")))</f>
        <v>Highly Satisfied</v>
      </c>
      <c r="R57" s="7" t="str">
        <f aca="false">UPPER(LEFT(TRIM(J57),1))&amp;LOWER(MID(TRIM(J57),2,100))</f>
        <v>Gold</v>
      </c>
      <c r="S57" s="7" t="str">
        <f aca="false">IF(I57="High","Positive",IF(I57="Medium","Neutral","Negative"))</f>
        <v>Positive</v>
      </c>
      <c r="T57" s="7" t="str">
        <f aca="false">IF(AND(E57&gt;=80000,H57&gt;=15),"Premium",IF(AND(E57&gt;=50000,H57&gt;=10),"Standard","Basic"))</f>
        <v>Basic</v>
      </c>
      <c r="U57" s="7" t="str">
        <f aca="false">IF(AND(F57&gt;=7,G57&gt;=7),"High Quality Experience","Review Needed")</f>
        <v>Review Needed</v>
      </c>
      <c r="V57" s="7" t="str">
        <f aca="false">IF(H57&gt;=10,"Repeat Buyer","Occasional Buyer")</f>
        <v>Occasional Buyer</v>
      </c>
      <c r="W57" s="7" t="str">
        <f aca="false">IF(AND(K57&lt;70,I57="Low"),"At Risk","Stable")</f>
        <v>Stable</v>
      </c>
      <c r="X57" s="7" t="str">
        <f aca="false">IF(AND(K57&lt;75,I57="Low",J57="Bronze"),"Priority Followup","No Action")</f>
        <v>No Action</v>
      </c>
    </row>
    <row r="58" customFormat="false" ht="15" hidden="false" customHeight="false" outlineLevel="0" collapsed="false">
      <c r="A58" s="2" t="n">
        <v>56</v>
      </c>
      <c r="B58" s="2" t="n">
        <v>37</v>
      </c>
      <c r="C58" s="2" t="s">
        <v>11</v>
      </c>
      <c r="D58" s="2" t="s">
        <v>20</v>
      </c>
      <c r="E58" s="2" t="n">
        <v>114041</v>
      </c>
      <c r="F58" s="2" t="n">
        <v>7</v>
      </c>
      <c r="G58" s="2" t="n">
        <v>8</v>
      </c>
      <c r="H58" s="2" t="n">
        <v>11</v>
      </c>
      <c r="I58" s="2" t="s">
        <v>21</v>
      </c>
      <c r="J58" s="2" t="s">
        <v>19</v>
      </c>
      <c r="K58" s="2" t="n">
        <v>100</v>
      </c>
      <c r="L58" s="8" t="str">
        <f aca="false">IF(B58&lt;25,"Gen Z",IF(B58&lt;40,"Millennial",IF(B58&lt;55,"Gen X","Baby Boomer")))</f>
        <v>Millennial</v>
      </c>
      <c r="M58" s="8" t="str">
        <f aca="false">IF(E58&lt;50000,"Low Income",IF(E58&lt;80000,"Middle Income",IF(E58&lt;100000,"Upper Middle","High Income")))</f>
        <v>High Income</v>
      </c>
      <c r="N58" s="8" t="str">
        <f aca="false">IF(F58&lt;=3,"Poor",IF(F58&lt;=6,"Average",IF(F58&lt;=8,"Good","Excellent")))</f>
        <v>Good</v>
      </c>
      <c r="O58" s="8" t="str">
        <f aca="false">IF(G58&lt;=3,"Poor",IF(G58&lt;=6,"Average",IF(G58&lt;=8,"Good","Excellent")))</f>
        <v>Good</v>
      </c>
      <c r="P58" s="8" t="str">
        <f aca="false">IF(H58&lt;=5,"Low Frequency",IF(H58&lt;=10,"Moderate",IF(H58&lt;=15,"High","Very High")))</f>
        <v>High</v>
      </c>
      <c r="Q58" s="8" t="str">
        <f aca="false">IF(K58&gt;=90,"Highly Satisfied",IF(K58&gt;=75,"Satisfied",IF(K58&gt;=60,"Neutral","Dissatisfied")))</f>
        <v>Highly Satisfied</v>
      </c>
      <c r="R58" s="8" t="str">
        <f aca="false">UPPER(LEFT(TRIM(J58),1))&amp;LOWER(MID(TRIM(J58),2,100))</f>
        <v>Silver</v>
      </c>
      <c r="S58" s="8" t="str">
        <f aca="false">IF(I58="High","Positive",IF(I58="Medium","Neutral","Negative"))</f>
        <v>Positive</v>
      </c>
      <c r="T58" s="8" t="str">
        <f aca="false">IF(AND(E58&gt;=80000,H58&gt;=15),"Premium",IF(AND(E58&gt;=50000,H58&gt;=10),"Standard","Basic"))</f>
        <v>Standard</v>
      </c>
      <c r="U58" s="8" t="str">
        <f aca="false">IF(AND(F58&gt;=7,G58&gt;=7),"High Quality Experience","Review Needed")</f>
        <v>High Quality Experience</v>
      </c>
      <c r="V58" s="8" t="str">
        <f aca="false">IF(H58&gt;=10,"Repeat Buyer","Occasional Buyer")</f>
        <v>Repeat Buyer</v>
      </c>
      <c r="W58" s="8" t="str">
        <f aca="false">IF(AND(K58&lt;70,I58="Low"),"At Risk","Stable")</f>
        <v>Stable</v>
      </c>
      <c r="X58" s="8" t="str">
        <f aca="false">IF(AND(K58&lt;75,I58="Low",J58="Bronze"),"Priority Followup","No Action")</f>
        <v>No Action</v>
      </c>
    </row>
    <row r="59" customFormat="false" ht="15" hidden="false" customHeight="false" outlineLevel="0" collapsed="false">
      <c r="A59" s="3" t="n">
        <v>57</v>
      </c>
      <c r="B59" s="3" t="n">
        <v>45</v>
      </c>
      <c r="C59" s="3" t="s">
        <v>17</v>
      </c>
      <c r="D59" s="3" t="s">
        <v>20</v>
      </c>
      <c r="E59" s="3" t="n">
        <v>70385</v>
      </c>
      <c r="F59" s="3" t="n">
        <v>3</v>
      </c>
      <c r="G59" s="3" t="n">
        <v>10</v>
      </c>
      <c r="H59" s="3" t="n">
        <v>16</v>
      </c>
      <c r="I59" s="3" t="s">
        <v>13</v>
      </c>
      <c r="J59" s="3" t="s">
        <v>14</v>
      </c>
      <c r="K59" s="3" t="n">
        <v>100</v>
      </c>
      <c r="L59" s="7" t="str">
        <f aca="false">IF(B59&lt;25,"Gen Z",IF(B59&lt;40,"Millennial",IF(B59&lt;55,"Gen X","Baby Boomer")))</f>
        <v>Gen X</v>
      </c>
      <c r="M59" s="7" t="str">
        <f aca="false">IF(E59&lt;50000,"Low Income",IF(E59&lt;80000,"Middle Income",IF(E59&lt;100000,"Upper Middle","High Income")))</f>
        <v>Middle Income</v>
      </c>
      <c r="N59" s="7" t="str">
        <f aca="false">IF(F59&lt;=3,"Poor",IF(F59&lt;=6,"Average",IF(F59&lt;=8,"Good","Excellent")))</f>
        <v>Poor</v>
      </c>
      <c r="O59" s="7" t="str">
        <f aca="false">IF(G59&lt;=3,"Poor",IF(G59&lt;=6,"Average",IF(G59&lt;=8,"Good","Excellent")))</f>
        <v>Excellent</v>
      </c>
      <c r="P59" s="7" t="str">
        <f aca="false">IF(H59&lt;=5,"Low Frequency",IF(H59&lt;=10,"Moderate",IF(H59&lt;=15,"High","Very High")))</f>
        <v>Very High</v>
      </c>
      <c r="Q59" s="7" t="str">
        <f aca="false">IF(K59&gt;=90,"Highly Satisfied",IF(K59&gt;=75,"Satisfied",IF(K59&gt;=60,"Neutral","Dissatisfied")))</f>
        <v>Highly Satisfied</v>
      </c>
      <c r="R59" s="7" t="str">
        <f aca="false">UPPER(LEFT(TRIM(J59),1))&amp;LOWER(MID(TRIM(J59),2,100))</f>
        <v>Bronze</v>
      </c>
      <c r="S59" s="7" t="str">
        <f aca="false">IF(I59="High","Positive",IF(I59="Medium","Neutral","Negative"))</f>
        <v>Negative</v>
      </c>
      <c r="T59" s="7" t="str">
        <f aca="false">IF(AND(E59&gt;=80000,H59&gt;=15),"Premium",IF(AND(E59&gt;=50000,H59&gt;=10),"Standard","Basic"))</f>
        <v>Standard</v>
      </c>
      <c r="U59" s="7" t="str">
        <f aca="false">IF(AND(F59&gt;=7,G59&gt;=7),"High Quality Experience","Review Needed")</f>
        <v>Review Needed</v>
      </c>
      <c r="V59" s="7" t="str">
        <f aca="false">IF(H59&gt;=10,"Repeat Buyer","Occasional Buyer")</f>
        <v>Repeat Buyer</v>
      </c>
      <c r="W59" s="7" t="str">
        <f aca="false">IF(AND(K59&lt;70,I59="Low"),"At Risk","Stable")</f>
        <v>Stable</v>
      </c>
      <c r="X59" s="7" t="str">
        <f aca="false">IF(AND(K59&lt;75,I59="Low",J59="Bronze"),"Priority Followup","No Action")</f>
        <v>No Action</v>
      </c>
    </row>
    <row r="60" customFormat="false" ht="15" hidden="false" customHeight="false" outlineLevel="0" collapsed="false">
      <c r="A60" s="2" t="n">
        <v>58</v>
      </c>
      <c r="B60" s="2" t="n">
        <v>64</v>
      </c>
      <c r="C60" s="2" t="s">
        <v>11</v>
      </c>
      <c r="D60" s="2" t="s">
        <v>22</v>
      </c>
      <c r="E60" s="2" t="n">
        <v>55312</v>
      </c>
      <c r="F60" s="2" t="n">
        <v>7</v>
      </c>
      <c r="G60" s="2" t="n">
        <v>9</v>
      </c>
      <c r="H60" s="2" t="n">
        <v>7</v>
      </c>
      <c r="I60" s="2" t="s">
        <v>13</v>
      </c>
      <c r="J60" s="2" t="s">
        <v>14</v>
      </c>
      <c r="K60" s="2" t="n">
        <v>99.01</v>
      </c>
      <c r="L60" s="8" t="str">
        <f aca="false">IF(B60&lt;25,"Gen Z",IF(B60&lt;40,"Millennial",IF(B60&lt;55,"Gen X","Baby Boomer")))</f>
        <v>Baby Boomer</v>
      </c>
      <c r="M60" s="8" t="str">
        <f aca="false">IF(E60&lt;50000,"Low Income",IF(E60&lt;80000,"Middle Income",IF(E60&lt;100000,"Upper Middle","High Income")))</f>
        <v>Middle Income</v>
      </c>
      <c r="N60" s="8" t="str">
        <f aca="false">IF(F60&lt;=3,"Poor",IF(F60&lt;=6,"Average",IF(F60&lt;=8,"Good","Excellent")))</f>
        <v>Good</v>
      </c>
      <c r="O60" s="8" t="str">
        <f aca="false">IF(G60&lt;=3,"Poor",IF(G60&lt;=6,"Average",IF(G60&lt;=8,"Good","Excellent")))</f>
        <v>Excellent</v>
      </c>
      <c r="P60" s="8" t="str">
        <f aca="false">IF(H60&lt;=5,"Low Frequency",IF(H60&lt;=10,"Moderate",IF(H60&lt;=15,"High","Very High")))</f>
        <v>Moderate</v>
      </c>
      <c r="Q60" s="8" t="str">
        <f aca="false">IF(K60&gt;=90,"Highly Satisfied",IF(K60&gt;=75,"Satisfied",IF(K60&gt;=60,"Neutral","Dissatisfied")))</f>
        <v>Highly Satisfied</v>
      </c>
      <c r="R60" s="8" t="str">
        <f aca="false">UPPER(LEFT(TRIM(J60),1))&amp;LOWER(MID(TRIM(J60),2,100))</f>
        <v>Bronze</v>
      </c>
      <c r="S60" s="8" t="str">
        <f aca="false">IF(I60="High","Positive",IF(I60="Medium","Neutral","Negative"))</f>
        <v>Negative</v>
      </c>
      <c r="T60" s="8" t="str">
        <f aca="false">IF(AND(E60&gt;=80000,H60&gt;=15),"Premium",IF(AND(E60&gt;=50000,H60&gt;=10),"Standard","Basic"))</f>
        <v>Basic</v>
      </c>
      <c r="U60" s="8" t="str">
        <f aca="false">IF(AND(F60&gt;=7,G60&gt;=7),"High Quality Experience","Review Needed")</f>
        <v>High Quality Experience</v>
      </c>
      <c r="V60" s="8" t="str">
        <f aca="false">IF(H60&gt;=10,"Repeat Buyer","Occasional Buyer")</f>
        <v>Occasional Buyer</v>
      </c>
      <c r="W60" s="8" t="str">
        <f aca="false">IF(AND(K60&lt;70,I60="Low"),"At Risk","Stable")</f>
        <v>Stable</v>
      </c>
      <c r="X60" s="8" t="str">
        <f aca="false">IF(AND(K60&lt;75,I60="Low",J60="Bronze"),"Priority Followup","No Action")</f>
        <v>No Action</v>
      </c>
    </row>
    <row r="61" customFormat="false" ht="15" hidden="false" customHeight="false" outlineLevel="0" collapsed="false">
      <c r="A61" s="3" t="n">
        <v>59</v>
      </c>
      <c r="B61" s="3" t="n">
        <v>24</v>
      </c>
      <c r="C61" s="3" t="s">
        <v>17</v>
      </c>
      <c r="D61" s="3" t="s">
        <v>20</v>
      </c>
      <c r="E61" s="3" t="n">
        <v>99717</v>
      </c>
      <c r="F61" s="3" t="n">
        <v>3</v>
      </c>
      <c r="G61" s="3" t="n">
        <v>9</v>
      </c>
      <c r="H61" s="3" t="n">
        <v>1</v>
      </c>
      <c r="I61" s="3" t="s">
        <v>21</v>
      </c>
      <c r="J61" s="3" t="s">
        <v>19</v>
      </c>
      <c r="K61" s="3" t="n">
        <v>91.14</v>
      </c>
      <c r="L61" s="7" t="str">
        <f aca="false">IF(B61&lt;25,"Gen Z",IF(B61&lt;40,"Millennial",IF(B61&lt;55,"Gen X","Baby Boomer")))</f>
        <v>Gen Z</v>
      </c>
      <c r="M61" s="7" t="str">
        <f aca="false">IF(E61&lt;50000,"Low Income",IF(E61&lt;80000,"Middle Income",IF(E61&lt;100000,"Upper Middle","High Income")))</f>
        <v>Upper Middle</v>
      </c>
      <c r="N61" s="7" t="str">
        <f aca="false">IF(F61&lt;=3,"Poor",IF(F61&lt;=6,"Average",IF(F61&lt;=8,"Good","Excellent")))</f>
        <v>Poor</v>
      </c>
      <c r="O61" s="7" t="str">
        <f aca="false">IF(G61&lt;=3,"Poor",IF(G61&lt;=6,"Average",IF(G61&lt;=8,"Good","Excellent")))</f>
        <v>Excellent</v>
      </c>
      <c r="P61" s="7" t="str">
        <f aca="false">IF(H61&lt;=5,"Low Frequency",IF(H61&lt;=10,"Moderate",IF(H61&lt;=15,"High","Very High")))</f>
        <v>Low Frequency</v>
      </c>
      <c r="Q61" s="7" t="str">
        <f aca="false">IF(K61&gt;=90,"Highly Satisfied",IF(K61&gt;=75,"Satisfied",IF(K61&gt;=60,"Neutral","Dissatisfied")))</f>
        <v>Highly Satisfied</v>
      </c>
      <c r="R61" s="7" t="str">
        <f aca="false">UPPER(LEFT(TRIM(J61),1))&amp;LOWER(MID(TRIM(J61),2,100))</f>
        <v>Silver</v>
      </c>
      <c r="S61" s="7" t="str">
        <f aca="false">IF(I61="High","Positive",IF(I61="Medium","Neutral","Negative"))</f>
        <v>Positive</v>
      </c>
      <c r="T61" s="7" t="str">
        <f aca="false">IF(AND(E61&gt;=80000,H61&gt;=15),"Premium",IF(AND(E61&gt;=50000,H61&gt;=10),"Standard","Basic"))</f>
        <v>Basic</v>
      </c>
      <c r="U61" s="7" t="str">
        <f aca="false">IF(AND(F61&gt;=7,G61&gt;=7),"High Quality Experience","Review Needed")</f>
        <v>Review Needed</v>
      </c>
      <c r="V61" s="7" t="str">
        <f aca="false">IF(H61&gt;=10,"Repeat Buyer","Occasional Buyer")</f>
        <v>Occasional Buyer</v>
      </c>
      <c r="W61" s="7" t="str">
        <f aca="false">IF(AND(K61&lt;70,I61="Low"),"At Risk","Stable")</f>
        <v>Stable</v>
      </c>
      <c r="X61" s="7" t="str">
        <f aca="false">IF(AND(K61&lt;75,I61="Low",J61="Bronze"),"Priority Followup","No Action")</f>
        <v>No Action</v>
      </c>
    </row>
    <row r="62" customFormat="false" ht="15" hidden="false" customHeight="false" outlineLevel="0" collapsed="false">
      <c r="A62" s="2" t="n">
        <v>60</v>
      </c>
      <c r="B62" s="2" t="n">
        <v>61</v>
      </c>
      <c r="C62" s="2" t="s">
        <v>11</v>
      </c>
      <c r="D62" s="2" t="s">
        <v>20</v>
      </c>
      <c r="E62" s="2" t="n">
        <v>116849</v>
      </c>
      <c r="F62" s="2" t="n">
        <v>4</v>
      </c>
      <c r="G62" s="2" t="n">
        <v>7</v>
      </c>
      <c r="H62" s="2" t="n">
        <v>16</v>
      </c>
      <c r="I62" s="2" t="s">
        <v>15</v>
      </c>
      <c r="J62" s="2" t="s">
        <v>19</v>
      </c>
      <c r="K62" s="2" t="n">
        <v>100</v>
      </c>
      <c r="L62" s="8" t="str">
        <f aca="false">IF(B62&lt;25,"Gen Z",IF(B62&lt;40,"Millennial",IF(B62&lt;55,"Gen X","Baby Boomer")))</f>
        <v>Baby Boomer</v>
      </c>
      <c r="M62" s="8" t="str">
        <f aca="false">IF(E62&lt;50000,"Low Income",IF(E62&lt;80000,"Middle Income",IF(E62&lt;100000,"Upper Middle","High Income")))</f>
        <v>High Income</v>
      </c>
      <c r="N62" s="8" t="str">
        <f aca="false">IF(F62&lt;=3,"Poor",IF(F62&lt;=6,"Average",IF(F62&lt;=8,"Good","Excellent")))</f>
        <v>Average</v>
      </c>
      <c r="O62" s="8" t="str">
        <f aca="false">IF(G62&lt;=3,"Poor",IF(G62&lt;=6,"Average",IF(G62&lt;=8,"Good","Excellent")))</f>
        <v>Good</v>
      </c>
      <c r="P62" s="8" t="str">
        <f aca="false">IF(H62&lt;=5,"Low Frequency",IF(H62&lt;=10,"Moderate",IF(H62&lt;=15,"High","Very High")))</f>
        <v>Very High</v>
      </c>
      <c r="Q62" s="8" t="str">
        <f aca="false">IF(K62&gt;=90,"Highly Satisfied",IF(K62&gt;=75,"Satisfied",IF(K62&gt;=60,"Neutral","Dissatisfied")))</f>
        <v>Highly Satisfied</v>
      </c>
      <c r="R62" s="8" t="str">
        <f aca="false">UPPER(LEFT(TRIM(J62),1))&amp;LOWER(MID(TRIM(J62),2,100))</f>
        <v>Silver</v>
      </c>
      <c r="S62" s="8" t="str">
        <f aca="false">IF(I62="High","Positive",IF(I62="Medium","Neutral","Negative"))</f>
        <v>Neutral</v>
      </c>
      <c r="T62" s="8" t="str">
        <f aca="false">IF(AND(E62&gt;=80000,H62&gt;=15),"Premium",IF(AND(E62&gt;=50000,H62&gt;=10),"Standard","Basic"))</f>
        <v>Premium</v>
      </c>
      <c r="U62" s="8" t="str">
        <f aca="false">IF(AND(F62&gt;=7,G62&gt;=7),"High Quality Experience","Review Needed")</f>
        <v>Review Needed</v>
      </c>
      <c r="V62" s="8" t="str">
        <f aca="false">IF(H62&gt;=10,"Repeat Buyer","Occasional Buyer")</f>
        <v>Repeat Buyer</v>
      </c>
      <c r="W62" s="8" t="str">
        <f aca="false">IF(AND(K62&lt;70,I62="Low"),"At Risk","Stable")</f>
        <v>Stable</v>
      </c>
      <c r="X62" s="8" t="str">
        <f aca="false">IF(AND(K62&lt;75,I62="Low",J62="Bronze"),"Priority Followup","No Action")</f>
        <v>No Action</v>
      </c>
    </row>
    <row r="63" customFormat="false" ht="15" hidden="false" customHeight="false" outlineLevel="0" collapsed="false">
      <c r="A63" s="3" t="n">
        <v>61</v>
      </c>
      <c r="B63" s="3" t="n">
        <v>25</v>
      </c>
      <c r="C63" s="3" t="s">
        <v>17</v>
      </c>
      <c r="D63" s="3" t="s">
        <v>23</v>
      </c>
      <c r="E63" s="3" t="n">
        <v>39919</v>
      </c>
      <c r="F63" s="3" t="n">
        <v>5</v>
      </c>
      <c r="G63" s="3" t="n">
        <v>1</v>
      </c>
      <c r="H63" s="3" t="n">
        <v>15</v>
      </c>
      <c r="I63" s="3" t="s">
        <v>13</v>
      </c>
      <c r="J63" s="3" t="s">
        <v>16</v>
      </c>
      <c r="K63" s="3" t="n">
        <v>59.41</v>
      </c>
      <c r="L63" s="7" t="str">
        <f aca="false">IF(B63&lt;25,"Gen Z",IF(B63&lt;40,"Millennial",IF(B63&lt;55,"Gen X","Baby Boomer")))</f>
        <v>Millennial</v>
      </c>
      <c r="M63" s="7" t="str">
        <f aca="false">IF(E63&lt;50000,"Low Income",IF(E63&lt;80000,"Middle Income",IF(E63&lt;100000,"Upper Middle","High Income")))</f>
        <v>Low Income</v>
      </c>
      <c r="N63" s="7" t="str">
        <f aca="false">IF(F63&lt;=3,"Poor",IF(F63&lt;=6,"Average",IF(F63&lt;=8,"Good","Excellent")))</f>
        <v>Average</v>
      </c>
      <c r="O63" s="7" t="str">
        <f aca="false">IF(G63&lt;=3,"Poor",IF(G63&lt;=6,"Average",IF(G63&lt;=8,"Good","Excellent")))</f>
        <v>Poor</v>
      </c>
      <c r="P63" s="7" t="str">
        <f aca="false">IF(H63&lt;=5,"Low Frequency",IF(H63&lt;=10,"Moderate",IF(H63&lt;=15,"High","Very High")))</f>
        <v>High</v>
      </c>
      <c r="Q63" s="7" t="str">
        <f aca="false">IF(K63&gt;=90,"Highly Satisfied",IF(K63&gt;=75,"Satisfied",IF(K63&gt;=60,"Neutral","Dissatisfied")))</f>
        <v>Dissatisfied</v>
      </c>
      <c r="R63" s="7" t="str">
        <f aca="false">UPPER(LEFT(TRIM(J63),1))&amp;LOWER(MID(TRIM(J63),2,100))</f>
        <v>Gold</v>
      </c>
      <c r="S63" s="7" t="str">
        <f aca="false">IF(I63="High","Positive",IF(I63="Medium","Neutral","Negative"))</f>
        <v>Negative</v>
      </c>
      <c r="T63" s="7" t="str">
        <f aca="false">IF(AND(E63&gt;=80000,H63&gt;=15),"Premium",IF(AND(E63&gt;=50000,H63&gt;=10),"Standard","Basic"))</f>
        <v>Basic</v>
      </c>
      <c r="U63" s="7" t="str">
        <f aca="false">IF(AND(F63&gt;=7,G63&gt;=7),"High Quality Experience","Review Needed")</f>
        <v>Review Needed</v>
      </c>
      <c r="V63" s="7" t="str">
        <f aca="false">IF(H63&gt;=10,"Repeat Buyer","Occasional Buyer")</f>
        <v>Repeat Buyer</v>
      </c>
      <c r="W63" s="7" t="str">
        <f aca="false">IF(AND(K63&lt;70,I63="Low"),"At Risk","Stable")</f>
        <v>At Risk</v>
      </c>
      <c r="X63" s="7" t="str">
        <f aca="false">IF(AND(K63&lt;75,I63="Low",J63="Bronze"),"Priority Followup","No Action")</f>
        <v>No Action</v>
      </c>
    </row>
    <row r="64" customFormat="false" ht="15" hidden="false" customHeight="false" outlineLevel="0" collapsed="false">
      <c r="A64" s="2" t="n">
        <v>62</v>
      </c>
      <c r="B64" s="2" t="n">
        <v>64</v>
      </c>
      <c r="C64" s="2" t="s">
        <v>17</v>
      </c>
      <c r="D64" s="2" t="s">
        <v>12</v>
      </c>
      <c r="E64" s="2" t="n">
        <v>108598</v>
      </c>
      <c r="F64" s="2" t="n">
        <v>2</v>
      </c>
      <c r="G64" s="2" t="n">
        <v>5</v>
      </c>
      <c r="H64" s="2" t="n">
        <v>3</v>
      </c>
      <c r="I64" s="2" t="s">
        <v>15</v>
      </c>
      <c r="J64" s="2" t="s">
        <v>16</v>
      </c>
      <c r="K64" s="2" t="n">
        <v>90.05</v>
      </c>
      <c r="L64" s="8" t="str">
        <f aca="false">IF(B64&lt;25,"Gen Z",IF(B64&lt;40,"Millennial",IF(B64&lt;55,"Gen X","Baby Boomer")))</f>
        <v>Baby Boomer</v>
      </c>
      <c r="M64" s="8" t="str">
        <f aca="false">IF(E64&lt;50000,"Low Income",IF(E64&lt;80000,"Middle Income",IF(E64&lt;100000,"Upper Middle","High Income")))</f>
        <v>High Income</v>
      </c>
      <c r="N64" s="8" t="str">
        <f aca="false">IF(F64&lt;=3,"Poor",IF(F64&lt;=6,"Average",IF(F64&lt;=8,"Good","Excellent")))</f>
        <v>Poor</v>
      </c>
      <c r="O64" s="8" t="str">
        <f aca="false">IF(G64&lt;=3,"Poor",IF(G64&lt;=6,"Average",IF(G64&lt;=8,"Good","Excellent")))</f>
        <v>Average</v>
      </c>
      <c r="P64" s="8" t="str">
        <f aca="false">IF(H64&lt;=5,"Low Frequency",IF(H64&lt;=10,"Moderate",IF(H64&lt;=15,"High","Very High")))</f>
        <v>Low Frequency</v>
      </c>
      <c r="Q64" s="8" t="str">
        <f aca="false">IF(K64&gt;=90,"Highly Satisfied",IF(K64&gt;=75,"Satisfied",IF(K64&gt;=60,"Neutral","Dissatisfied")))</f>
        <v>Highly Satisfied</v>
      </c>
      <c r="R64" s="8" t="str">
        <f aca="false">UPPER(LEFT(TRIM(J64),1))&amp;LOWER(MID(TRIM(J64),2,100))</f>
        <v>Gold</v>
      </c>
      <c r="S64" s="8" t="str">
        <f aca="false">IF(I64="High","Positive",IF(I64="Medium","Neutral","Negative"))</f>
        <v>Neutral</v>
      </c>
      <c r="T64" s="8" t="str">
        <f aca="false">IF(AND(E64&gt;=80000,H64&gt;=15),"Premium",IF(AND(E64&gt;=50000,H64&gt;=10),"Standard","Basic"))</f>
        <v>Basic</v>
      </c>
      <c r="U64" s="8" t="str">
        <f aca="false">IF(AND(F64&gt;=7,G64&gt;=7),"High Quality Experience","Review Needed")</f>
        <v>Review Needed</v>
      </c>
      <c r="V64" s="8" t="str">
        <f aca="false">IF(H64&gt;=10,"Repeat Buyer","Occasional Buyer")</f>
        <v>Occasional Buyer</v>
      </c>
      <c r="W64" s="8" t="str">
        <f aca="false">IF(AND(K64&lt;70,I64="Low"),"At Risk","Stable")</f>
        <v>Stable</v>
      </c>
      <c r="X64" s="8" t="str">
        <f aca="false">IF(AND(K64&lt;75,I64="Low",J64="Bronze"),"Priority Followup","No Action")</f>
        <v>No Action</v>
      </c>
    </row>
    <row r="65" customFormat="false" ht="15" hidden="false" customHeight="false" outlineLevel="0" collapsed="false">
      <c r="A65" s="3" t="n">
        <v>63</v>
      </c>
      <c r="B65" s="3" t="n">
        <v>52</v>
      </c>
      <c r="C65" s="3" t="s">
        <v>11</v>
      </c>
      <c r="D65" s="3" t="s">
        <v>22</v>
      </c>
      <c r="E65" s="3" t="n">
        <v>81699</v>
      </c>
      <c r="F65" s="3" t="n">
        <v>5</v>
      </c>
      <c r="G65" s="3" t="n">
        <v>10</v>
      </c>
      <c r="H65" s="3" t="n">
        <v>17</v>
      </c>
      <c r="I65" s="3" t="s">
        <v>21</v>
      </c>
      <c r="J65" s="3" t="s">
        <v>16</v>
      </c>
      <c r="K65" s="3" t="n">
        <v>100</v>
      </c>
      <c r="L65" s="7" t="str">
        <f aca="false">IF(B65&lt;25,"Gen Z",IF(B65&lt;40,"Millennial",IF(B65&lt;55,"Gen X","Baby Boomer")))</f>
        <v>Gen X</v>
      </c>
      <c r="M65" s="7" t="str">
        <f aca="false">IF(E65&lt;50000,"Low Income",IF(E65&lt;80000,"Middle Income",IF(E65&lt;100000,"Upper Middle","High Income")))</f>
        <v>Upper Middle</v>
      </c>
      <c r="N65" s="7" t="str">
        <f aca="false">IF(F65&lt;=3,"Poor",IF(F65&lt;=6,"Average",IF(F65&lt;=8,"Good","Excellent")))</f>
        <v>Average</v>
      </c>
      <c r="O65" s="7" t="str">
        <f aca="false">IF(G65&lt;=3,"Poor",IF(G65&lt;=6,"Average",IF(G65&lt;=8,"Good","Excellent")))</f>
        <v>Excellent</v>
      </c>
      <c r="P65" s="7" t="str">
        <f aca="false">IF(H65&lt;=5,"Low Frequency",IF(H65&lt;=10,"Moderate",IF(H65&lt;=15,"High","Very High")))</f>
        <v>Very High</v>
      </c>
      <c r="Q65" s="7" t="str">
        <f aca="false">IF(K65&gt;=90,"Highly Satisfied",IF(K65&gt;=75,"Satisfied",IF(K65&gt;=60,"Neutral","Dissatisfied")))</f>
        <v>Highly Satisfied</v>
      </c>
      <c r="R65" s="7" t="str">
        <f aca="false">UPPER(LEFT(TRIM(J65),1))&amp;LOWER(MID(TRIM(J65),2,100))</f>
        <v>Gold</v>
      </c>
      <c r="S65" s="7" t="str">
        <f aca="false">IF(I65="High","Positive",IF(I65="Medium","Neutral","Negative"))</f>
        <v>Positive</v>
      </c>
      <c r="T65" s="7" t="str">
        <f aca="false">IF(AND(E65&gt;=80000,H65&gt;=15),"Premium",IF(AND(E65&gt;=50000,H65&gt;=10),"Standard","Basic"))</f>
        <v>Premium</v>
      </c>
      <c r="U65" s="7" t="str">
        <f aca="false">IF(AND(F65&gt;=7,G65&gt;=7),"High Quality Experience","Review Needed")</f>
        <v>Review Needed</v>
      </c>
      <c r="V65" s="7" t="str">
        <f aca="false">IF(H65&gt;=10,"Repeat Buyer","Occasional Buyer")</f>
        <v>Repeat Buyer</v>
      </c>
      <c r="W65" s="7" t="str">
        <f aca="false">IF(AND(K65&lt;70,I65="Low"),"At Risk","Stable")</f>
        <v>Stable</v>
      </c>
      <c r="X65" s="7" t="str">
        <f aca="false">IF(AND(K65&lt;75,I65="Low",J65="Bronze"),"Priority Followup","No Action")</f>
        <v>No Action</v>
      </c>
    </row>
    <row r="66" customFormat="false" ht="15" hidden="false" customHeight="false" outlineLevel="0" collapsed="false">
      <c r="A66" s="2" t="n">
        <v>64</v>
      </c>
      <c r="B66" s="2" t="n">
        <v>31</v>
      </c>
      <c r="C66" s="2" t="s">
        <v>11</v>
      </c>
      <c r="D66" s="2" t="s">
        <v>20</v>
      </c>
      <c r="E66" s="2" t="n">
        <v>56536</v>
      </c>
      <c r="F66" s="2" t="n">
        <v>10</v>
      </c>
      <c r="G66" s="2" t="n">
        <v>1</v>
      </c>
      <c r="H66" s="2" t="n">
        <v>1</v>
      </c>
      <c r="I66" s="2" t="s">
        <v>21</v>
      </c>
      <c r="J66" s="2" t="s">
        <v>16</v>
      </c>
      <c r="K66" s="2" t="n">
        <v>67.19</v>
      </c>
      <c r="L66" s="8" t="str">
        <f aca="false">IF(B66&lt;25,"Gen Z",IF(B66&lt;40,"Millennial",IF(B66&lt;55,"Gen X","Baby Boomer")))</f>
        <v>Millennial</v>
      </c>
      <c r="M66" s="8" t="str">
        <f aca="false">IF(E66&lt;50000,"Low Income",IF(E66&lt;80000,"Middle Income",IF(E66&lt;100000,"Upper Middle","High Income")))</f>
        <v>Middle Income</v>
      </c>
      <c r="N66" s="8" t="str">
        <f aca="false">IF(F66&lt;=3,"Poor",IF(F66&lt;=6,"Average",IF(F66&lt;=8,"Good","Excellent")))</f>
        <v>Excellent</v>
      </c>
      <c r="O66" s="8" t="str">
        <f aca="false">IF(G66&lt;=3,"Poor",IF(G66&lt;=6,"Average",IF(G66&lt;=8,"Good","Excellent")))</f>
        <v>Poor</v>
      </c>
      <c r="P66" s="8" t="str">
        <f aca="false">IF(H66&lt;=5,"Low Frequency",IF(H66&lt;=10,"Moderate",IF(H66&lt;=15,"High","Very High")))</f>
        <v>Low Frequency</v>
      </c>
      <c r="Q66" s="8" t="str">
        <f aca="false">IF(K66&gt;=90,"Highly Satisfied",IF(K66&gt;=75,"Satisfied",IF(K66&gt;=60,"Neutral","Dissatisfied")))</f>
        <v>Neutral</v>
      </c>
      <c r="R66" s="8" t="str">
        <f aca="false">UPPER(LEFT(TRIM(J66),1))&amp;LOWER(MID(TRIM(J66),2,100))</f>
        <v>Gold</v>
      </c>
      <c r="S66" s="8" t="str">
        <f aca="false">IF(I66="High","Positive",IF(I66="Medium","Neutral","Negative"))</f>
        <v>Positive</v>
      </c>
      <c r="T66" s="8" t="str">
        <f aca="false">IF(AND(E66&gt;=80000,H66&gt;=15),"Premium",IF(AND(E66&gt;=50000,H66&gt;=10),"Standard","Basic"))</f>
        <v>Basic</v>
      </c>
      <c r="U66" s="8" t="str">
        <f aca="false">IF(AND(F66&gt;=7,G66&gt;=7),"High Quality Experience","Review Needed")</f>
        <v>Review Needed</v>
      </c>
      <c r="V66" s="8" t="str">
        <f aca="false">IF(H66&gt;=10,"Repeat Buyer","Occasional Buyer")</f>
        <v>Occasional Buyer</v>
      </c>
      <c r="W66" s="8" t="str">
        <f aca="false">IF(AND(K66&lt;70,I66="Low"),"At Risk","Stable")</f>
        <v>Stable</v>
      </c>
      <c r="X66" s="8" t="str">
        <f aca="false">IF(AND(K66&lt;75,I66="Low",J66="Bronze"),"Priority Followup","No Action")</f>
        <v>No Action</v>
      </c>
    </row>
    <row r="67" customFormat="false" ht="15" hidden="false" customHeight="false" outlineLevel="0" collapsed="false">
      <c r="A67" s="3" t="n">
        <v>65</v>
      </c>
      <c r="B67" s="3" t="n">
        <v>34</v>
      </c>
      <c r="C67" s="3" t="s">
        <v>17</v>
      </c>
      <c r="D67" s="3" t="s">
        <v>23</v>
      </c>
      <c r="E67" s="3" t="n">
        <v>70364</v>
      </c>
      <c r="F67" s="3" t="n">
        <v>6</v>
      </c>
      <c r="G67" s="3" t="n">
        <v>1</v>
      </c>
      <c r="H67" s="3" t="n">
        <v>18</v>
      </c>
      <c r="I67" s="3" t="s">
        <v>21</v>
      </c>
      <c r="J67" s="3" t="s">
        <v>16</v>
      </c>
      <c r="K67" s="3" t="n">
        <v>60.67</v>
      </c>
      <c r="L67" s="7" t="str">
        <f aca="false">IF(B67&lt;25,"Gen Z",IF(B67&lt;40,"Millennial",IF(B67&lt;55,"Gen X","Baby Boomer")))</f>
        <v>Millennial</v>
      </c>
      <c r="M67" s="7" t="str">
        <f aca="false">IF(E67&lt;50000,"Low Income",IF(E67&lt;80000,"Middle Income",IF(E67&lt;100000,"Upper Middle","High Income")))</f>
        <v>Middle Income</v>
      </c>
      <c r="N67" s="7" t="str">
        <f aca="false">IF(F67&lt;=3,"Poor",IF(F67&lt;=6,"Average",IF(F67&lt;=8,"Good","Excellent")))</f>
        <v>Average</v>
      </c>
      <c r="O67" s="7" t="str">
        <f aca="false">IF(G67&lt;=3,"Poor",IF(G67&lt;=6,"Average",IF(G67&lt;=8,"Good","Excellent")))</f>
        <v>Poor</v>
      </c>
      <c r="P67" s="7" t="str">
        <f aca="false">IF(H67&lt;=5,"Low Frequency",IF(H67&lt;=10,"Moderate",IF(H67&lt;=15,"High","Very High")))</f>
        <v>Very High</v>
      </c>
      <c r="Q67" s="7" t="str">
        <f aca="false">IF(K67&gt;=90,"Highly Satisfied",IF(K67&gt;=75,"Satisfied",IF(K67&gt;=60,"Neutral","Dissatisfied")))</f>
        <v>Neutral</v>
      </c>
      <c r="R67" s="7" t="str">
        <f aca="false">UPPER(LEFT(TRIM(J67),1))&amp;LOWER(MID(TRIM(J67),2,100))</f>
        <v>Gold</v>
      </c>
      <c r="S67" s="7" t="str">
        <f aca="false">IF(I67="High","Positive",IF(I67="Medium","Neutral","Negative"))</f>
        <v>Positive</v>
      </c>
      <c r="T67" s="7" t="str">
        <f aca="false">IF(AND(E67&gt;=80000,H67&gt;=15),"Premium",IF(AND(E67&gt;=50000,H67&gt;=10),"Standard","Basic"))</f>
        <v>Standard</v>
      </c>
      <c r="U67" s="7" t="str">
        <f aca="false">IF(AND(F67&gt;=7,G67&gt;=7),"High Quality Experience","Review Needed")</f>
        <v>Review Needed</v>
      </c>
      <c r="V67" s="7" t="str">
        <f aca="false">IF(H67&gt;=10,"Repeat Buyer","Occasional Buyer")</f>
        <v>Repeat Buyer</v>
      </c>
      <c r="W67" s="7" t="str">
        <f aca="false">IF(AND(K67&lt;70,I67="Low"),"At Risk","Stable")</f>
        <v>Stable</v>
      </c>
      <c r="X67" s="7" t="str">
        <f aca="false">IF(AND(K67&lt;75,I67="Low",J67="Bronze"),"Priority Followup","No Action")</f>
        <v>No Action</v>
      </c>
    </row>
    <row r="68" customFormat="false" ht="15" hidden="false" customHeight="false" outlineLevel="0" collapsed="false">
      <c r="A68" s="2" t="n">
        <v>66</v>
      </c>
      <c r="B68" s="2" t="n">
        <v>53</v>
      </c>
      <c r="C68" s="2" t="s">
        <v>17</v>
      </c>
      <c r="D68" s="2" t="s">
        <v>23</v>
      </c>
      <c r="E68" s="2" t="n">
        <v>99149</v>
      </c>
      <c r="F68" s="2" t="n">
        <v>9</v>
      </c>
      <c r="G68" s="2" t="n">
        <v>2</v>
      </c>
      <c r="H68" s="2" t="n">
        <v>8</v>
      </c>
      <c r="I68" s="2" t="s">
        <v>13</v>
      </c>
      <c r="J68" s="2" t="s">
        <v>14</v>
      </c>
      <c r="K68" s="2" t="n">
        <v>87.19</v>
      </c>
      <c r="L68" s="8" t="str">
        <f aca="false">IF(B68&lt;25,"Gen Z",IF(B68&lt;40,"Millennial",IF(B68&lt;55,"Gen X","Baby Boomer")))</f>
        <v>Gen X</v>
      </c>
      <c r="M68" s="8" t="str">
        <f aca="false">IF(E68&lt;50000,"Low Income",IF(E68&lt;80000,"Middle Income",IF(E68&lt;100000,"Upper Middle","High Income")))</f>
        <v>Upper Middle</v>
      </c>
      <c r="N68" s="8" t="str">
        <f aca="false">IF(F68&lt;=3,"Poor",IF(F68&lt;=6,"Average",IF(F68&lt;=8,"Good","Excellent")))</f>
        <v>Excellent</v>
      </c>
      <c r="O68" s="8" t="str">
        <f aca="false">IF(G68&lt;=3,"Poor",IF(G68&lt;=6,"Average",IF(G68&lt;=8,"Good","Excellent")))</f>
        <v>Poor</v>
      </c>
      <c r="P68" s="8" t="str">
        <f aca="false">IF(H68&lt;=5,"Low Frequency",IF(H68&lt;=10,"Moderate",IF(H68&lt;=15,"High","Very High")))</f>
        <v>Moderate</v>
      </c>
      <c r="Q68" s="8" t="str">
        <f aca="false">IF(K68&gt;=90,"Highly Satisfied",IF(K68&gt;=75,"Satisfied",IF(K68&gt;=60,"Neutral","Dissatisfied")))</f>
        <v>Satisfied</v>
      </c>
      <c r="R68" s="8" t="str">
        <f aca="false">UPPER(LEFT(TRIM(J68),1))&amp;LOWER(MID(TRIM(J68),2,100))</f>
        <v>Bronze</v>
      </c>
      <c r="S68" s="8" t="str">
        <f aca="false">IF(I68="High","Positive",IF(I68="Medium","Neutral","Negative"))</f>
        <v>Negative</v>
      </c>
      <c r="T68" s="8" t="str">
        <f aca="false">IF(AND(E68&gt;=80000,H68&gt;=15),"Premium",IF(AND(E68&gt;=50000,H68&gt;=10),"Standard","Basic"))</f>
        <v>Basic</v>
      </c>
      <c r="U68" s="8" t="str">
        <f aca="false">IF(AND(F68&gt;=7,G68&gt;=7),"High Quality Experience","Review Needed")</f>
        <v>Review Needed</v>
      </c>
      <c r="V68" s="8" t="str">
        <f aca="false">IF(H68&gt;=10,"Repeat Buyer","Occasional Buyer")</f>
        <v>Occasional Buyer</v>
      </c>
      <c r="W68" s="8" t="str">
        <f aca="false">IF(AND(K68&lt;70,I68="Low"),"At Risk","Stable")</f>
        <v>Stable</v>
      </c>
      <c r="X68" s="8" t="str">
        <f aca="false">IF(AND(K68&lt;75,I68="Low",J68="Bronze"),"Priority Followup","No Action")</f>
        <v>No Action</v>
      </c>
    </row>
    <row r="69" customFormat="false" ht="15" hidden="false" customHeight="false" outlineLevel="0" collapsed="false">
      <c r="A69" s="3" t="n">
        <v>67</v>
      </c>
      <c r="B69" s="3" t="n">
        <v>67</v>
      </c>
      <c r="C69" s="3" t="s">
        <v>11</v>
      </c>
      <c r="D69" s="3" t="s">
        <v>12</v>
      </c>
      <c r="E69" s="3" t="n">
        <v>115925</v>
      </c>
      <c r="F69" s="3" t="n">
        <v>10</v>
      </c>
      <c r="G69" s="3" t="n">
        <v>3</v>
      </c>
      <c r="H69" s="3" t="n">
        <v>18</v>
      </c>
      <c r="I69" s="3" t="s">
        <v>21</v>
      </c>
      <c r="J69" s="3" t="s">
        <v>16</v>
      </c>
      <c r="K69" s="3" t="n">
        <v>100</v>
      </c>
      <c r="L69" s="7" t="str">
        <f aca="false">IF(B69&lt;25,"Gen Z",IF(B69&lt;40,"Millennial",IF(B69&lt;55,"Gen X","Baby Boomer")))</f>
        <v>Baby Boomer</v>
      </c>
      <c r="M69" s="7" t="str">
        <f aca="false">IF(E69&lt;50000,"Low Income",IF(E69&lt;80000,"Middle Income",IF(E69&lt;100000,"Upper Middle","High Income")))</f>
        <v>High Income</v>
      </c>
      <c r="N69" s="7" t="str">
        <f aca="false">IF(F69&lt;=3,"Poor",IF(F69&lt;=6,"Average",IF(F69&lt;=8,"Good","Excellent")))</f>
        <v>Excellent</v>
      </c>
      <c r="O69" s="7" t="str">
        <f aca="false">IF(G69&lt;=3,"Poor",IF(G69&lt;=6,"Average",IF(G69&lt;=8,"Good","Excellent")))</f>
        <v>Poor</v>
      </c>
      <c r="P69" s="7" t="str">
        <f aca="false">IF(H69&lt;=5,"Low Frequency",IF(H69&lt;=10,"Moderate",IF(H69&lt;=15,"High","Very High")))</f>
        <v>Very High</v>
      </c>
      <c r="Q69" s="7" t="str">
        <f aca="false">IF(K69&gt;=90,"Highly Satisfied",IF(K69&gt;=75,"Satisfied",IF(K69&gt;=60,"Neutral","Dissatisfied")))</f>
        <v>Highly Satisfied</v>
      </c>
      <c r="R69" s="7" t="str">
        <f aca="false">UPPER(LEFT(TRIM(J69),1))&amp;LOWER(MID(TRIM(J69),2,100))</f>
        <v>Gold</v>
      </c>
      <c r="S69" s="7" t="str">
        <f aca="false">IF(I69="High","Positive",IF(I69="Medium","Neutral","Negative"))</f>
        <v>Positive</v>
      </c>
      <c r="T69" s="7" t="str">
        <f aca="false">IF(AND(E69&gt;=80000,H69&gt;=15),"Premium",IF(AND(E69&gt;=50000,H69&gt;=10),"Standard","Basic"))</f>
        <v>Premium</v>
      </c>
      <c r="U69" s="7" t="str">
        <f aca="false">IF(AND(F69&gt;=7,G69&gt;=7),"High Quality Experience","Review Needed")</f>
        <v>Review Needed</v>
      </c>
      <c r="V69" s="7" t="str">
        <f aca="false">IF(H69&gt;=10,"Repeat Buyer","Occasional Buyer")</f>
        <v>Repeat Buyer</v>
      </c>
      <c r="W69" s="7" t="str">
        <f aca="false">IF(AND(K69&lt;70,I69="Low"),"At Risk","Stable")</f>
        <v>Stable</v>
      </c>
      <c r="X69" s="7" t="str">
        <f aca="false">IF(AND(K69&lt;75,I69="Low",J69="Bronze"),"Priority Followup","No Action")</f>
        <v>No Action</v>
      </c>
    </row>
    <row r="70" customFormat="false" ht="15" hidden="false" customHeight="false" outlineLevel="0" collapsed="false">
      <c r="A70" s="2" t="n">
        <v>68</v>
      </c>
      <c r="B70" s="2" t="n">
        <v>57</v>
      </c>
      <c r="C70" s="2" t="s">
        <v>17</v>
      </c>
      <c r="D70" s="2" t="s">
        <v>23</v>
      </c>
      <c r="E70" s="2" t="n">
        <v>34262</v>
      </c>
      <c r="F70" s="2" t="n">
        <v>4</v>
      </c>
      <c r="G70" s="2" t="n">
        <v>9</v>
      </c>
      <c r="H70" s="2" t="n">
        <v>18</v>
      </c>
      <c r="I70" s="2" t="s">
        <v>21</v>
      </c>
      <c r="J70" s="2" t="s">
        <v>16</v>
      </c>
      <c r="K70" s="2" t="n">
        <v>99.86</v>
      </c>
      <c r="L70" s="8" t="str">
        <f aca="false">IF(B70&lt;25,"Gen Z",IF(B70&lt;40,"Millennial",IF(B70&lt;55,"Gen X","Baby Boomer")))</f>
        <v>Baby Boomer</v>
      </c>
      <c r="M70" s="8" t="str">
        <f aca="false">IF(E70&lt;50000,"Low Income",IF(E70&lt;80000,"Middle Income",IF(E70&lt;100000,"Upper Middle","High Income")))</f>
        <v>Low Income</v>
      </c>
      <c r="N70" s="8" t="str">
        <f aca="false">IF(F70&lt;=3,"Poor",IF(F70&lt;=6,"Average",IF(F70&lt;=8,"Good","Excellent")))</f>
        <v>Average</v>
      </c>
      <c r="O70" s="8" t="str">
        <f aca="false">IF(G70&lt;=3,"Poor",IF(G70&lt;=6,"Average",IF(G70&lt;=8,"Good","Excellent")))</f>
        <v>Excellent</v>
      </c>
      <c r="P70" s="8" t="str">
        <f aca="false">IF(H70&lt;=5,"Low Frequency",IF(H70&lt;=10,"Moderate",IF(H70&lt;=15,"High","Very High")))</f>
        <v>Very High</v>
      </c>
      <c r="Q70" s="8" t="str">
        <f aca="false">IF(K70&gt;=90,"Highly Satisfied",IF(K70&gt;=75,"Satisfied",IF(K70&gt;=60,"Neutral","Dissatisfied")))</f>
        <v>Highly Satisfied</v>
      </c>
      <c r="R70" s="8" t="str">
        <f aca="false">UPPER(LEFT(TRIM(J70),1))&amp;LOWER(MID(TRIM(J70),2,100))</f>
        <v>Gold</v>
      </c>
      <c r="S70" s="8" t="str">
        <f aca="false">IF(I70="High","Positive",IF(I70="Medium","Neutral","Negative"))</f>
        <v>Positive</v>
      </c>
      <c r="T70" s="8" t="str">
        <f aca="false">IF(AND(E70&gt;=80000,H70&gt;=15),"Premium",IF(AND(E70&gt;=50000,H70&gt;=10),"Standard","Basic"))</f>
        <v>Basic</v>
      </c>
      <c r="U70" s="8" t="str">
        <f aca="false">IF(AND(F70&gt;=7,G70&gt;=7),"High Quality Experience","Review Needed")</f>
        <v>Review Needed</v>
      </c>
      <c r="V70" s="8" t="str">
        <f aca="false">IF(H70&gt;=10,"Repeat Buyer","Occasional Buyer")</f>
        <v>Repeat Buyer</v>
      </c>
      <c r="W70" s="8" t="str">
        <f aca="false">IF(AND(K70&lt;70,I70="Low"),"At Risk","Stable")</f>
        <v>Stable</v>
      </c>
      <c r="X70" s="8" t="str">
        <f aca="false">IF(AND(K70&lt;75,I70="Low",J70="Bronze"),"Priority Followup","No Action")</f>
        <v>No Action</v>
      </c>
    </row>
    <row r="71" customFormat="false" ht="15" hidden="false" customHeight="false" outlineLevel="0" collapsed="false">
      <c r="A71" s="3" t="n">
        <v>69</v>
      </c>
      <c r="B71" s="3" t="n">
        <v>21</v>
      </c>
      <c r="C71" s="3" t="s">
        <v>11</v>
      </c>
      <c r="D71" s="3" t="s">
        <v>18</v>
      </c>
      <c r="E71" s="3" t="n">
        <v>64450</v>
      </c>
      <c r="F71" s="3" t="n">
        <v>10</v>
      </c>
      <c r="G71" s="3" t="n">
        <v>3</v>
      </c>
      <c r="H71" s="3" t="n">
        <v>4</v>
      </c>
      <c r="I71" s="3" t="s">
        <v>15</v>
      </c>
      <c r="J71" s="3" t="s">
        <v>19</v>
      </c>
      <c r="K71" s="3" t="n">
        <v>100</v>
      </c>
      <c r="L71" s="7" t="str">
        <f aca="false">IF(B71&lt;25,"Gen Z",IF(B71&lt;40,"Millennial",IF(B71&lt;55,"Gen X","Baby Boomer")))</f>
        <v>Gen Z</v>
      </c>
      <c r="M71" s="7" t="str">
        <f aca="false">IF(E71&lt;50000,"Low Income",IF(E71&lt;80000,"Middle Income",IF(E71&lt;100000,"Upper Middle","High Income")))</f>
        <v>Middle Income</v>
      </c>
      <c r="N71" s="7" t="str">
        <f aca="false">IF(F71&lt;=3,"Poor",IF(F71&lt;=6,"Average",IF(F71&lt;=8,"Good","Excellent")))</f>
        <v>Excellent</v>
      </c>
      <c r="O71" s="7" t="str">
        <f aca="false">IF(G71&lt;=3,"Poor",IF(G71&lt;=6,"Average",IF(G71&lt;=8,"Good","Excellent")))</f>
        <v>Poor</v>
      </c>
      <c r="P71" s="7" t="str">
        <f aca="false">IF(H71&lt;=5,"Low Frequency",IF(H71&lt;=10,"Moderate",IF(H71&lt;=15,"High","Very High")))</f>
        <v>Low Frequency</v>
      </c>
      <c r="Q71" s="7" t="str">
        <f aca="false">IF(K71&gt;=90,"Highly Satisfied",IF(K71&gt;=75,"Satisfied",IF(K71&gt;=60,"Neutral","Dissatisfied")))</f>
        <v>Highly Satisfied</v>
      </c>
      <c r="R71" s="7" t="str">
        <f aca="false">UPPER(LEFT(TRIM(J71),1))&amp;LOWER(MID(TRIM(J71),2,100))</f>
        <v>Silver</v>
      </c>
      <c r="S71" s="7" t="str">
        <f aca="false">IF(I71="High","Positive",IF(I71="Medium","Neutral","Negative"))</f>
        <v>Neutral</v>
      </c>
      <c r="T71" s="7" t="str">
        <f aca="false">IF(AND(E71&gt;=80000,H71&gt;=15),"Premium",IF(AND(E71&gt;=50000,H71&gt;=10),"Standard","Basic"))</f>
        <v>Basic</v>
      </c>
      <c r="U71" s="7" t="str">
        <f aca="false">IF(AND(F71&gt;=7,G71&gt;=7),"High Quality Experience","Review Needed")</f>
        <v>Review Needed</v>
      </c>
      <c r="V71" s="7" t="str">
        <f aca="false">IF(H71&gt;=10,"Repeat Buyer","Occasional Buyer")</f>
        <v>Occasional Buyer</v>
      </c>
      <c r="W71" s="7" t="str">
        <f aca="false">IF(AND(K71&lt;70,I71="Low"),"At Risk","Stable")</f>
        <v>Stable</v>
      </c>
      <c r="X71" s="7" t="str">
        <f aca="false">IF(AND(K71&lt;75,I71="Low",J71="Bronze"),"Priority Followup","No Action")</f>
        <v>No Action</v>
      </c>
    </row>
    <row r="72" customFormat="false" ht="15" hidden="false" customHeight="false" outlineLevel="0" collapsed="false">
      <c r="A72" s="2" t="n">
        <v>70</v>
      </c>
      <c r="B72" s="2" t="n">
        <v>19</v>
      </c>
      <c r="C72" s="2" t="s">
        <v>11</v>
      </c>
      <c r="D72" s="2" t="s">
        <v>18</v>
      </c>
      <c r="E72" s="2" t="n">
        <v>75486</v>
      </c>
      <c r="F72" s="2" t="n">
        <v>5</v>
      </c>
      <c r="G72" s="2" t="n">
        <v>4</v>
      </c>
      <c r="H72" s="2" t="n">
        <v>20</v>
      </c>
      <c r="I72" s="2" t="s">
        <v>13</v>
      </c>
      <c r="J72" s="2" t="s">
        <v>19</v>
      </c>
      <c r="K72" s="2" t="n">
        <v>80.11</v>
      </c>
      <c r="L72" s="8" t="str">
        <f aca="false">IF(B72&lt;25,"Gen Z",IF(B72&lt;40,"Millennial",IF(B72&lt;55,"Gen X","Baby Boomer")))</f>
        <v>Gen Z</v>
      </c>
      <c r="M72" s="8" t="str">
        <f aca="false">IF(E72&lt;50000,"Low Income",IF(E72&lt;80000,"Middle Income",IF(E72&lt;100000,"Upper Middle","High Income")))</f>
        <v>Middle Income</v>
      </c>
      <c r="N72" s="8" t="str">
        <f aca="false">IF(F72&lt;=3,"Poor",IF(F72&lt;=6,"Average",IF(F72&lt;=8,"Good","Excellent")))</f>
        <v>Average</v>
      </c>
      <c r="O72" s="8" t="str">
        <f aca="false">IF(G72&lt;=3,"Poor",IF(G72&lt;=6,"Average",IF(G72&lt;=8,"Good","Excellent")))</f>
        <v>Average</v>
      </c>
      <c r="P72" s="8" t="str">
        <f aca="false">IF(H72&lt;=5,"Low Frequency",IF(H72&lt;=10,"Moderate",IF(H72&lt;=15,"High","Very High")))</f>
        <v>Very High</v>
      </c>
      <c r="Q72" s="8" t="str">
        <f aca="false">IF(K72&gt;=90,"Highly Satisfied",IF(K72&gt;=75,"Satisfied",IF(K72&gt;=60,"Neutral","Dissatisfied")))</f>
        <v>Satisfied</v>
      </c>
      <c r="R72" s="8" t="str">
        <f aca="false">UPPER(LEFT(TRIM(J72),1))&amp;LOWER(MID(TRIM(J72),2,100))</f>
        <v>Silver</v>
      </c>
      <c r="S72" s="8" t="str">
        <f aca="false">IF(I72="High","Positive",IF(I72="Medium","Neutral","Negative"))</f>
        <v>Negative</v>
      </c>
      <c r="T72" s="8" t="str">
        <f aca="false">IF(AND(E72&gt;=80000,H72&gt;=15),"Premium",IF(AND(E72&gt;=50000,H72&gt;=10),"Standard","Basic"))</f>
        <v>Standard</v>
      </c>
      <c r="U72" s="8" t="str">
        <f aca="false">IF(AND(F72&gt;=7,G72&gt;=7),"High Quality Experience","Review Needed")</f>
        <v>Review Needed</v>
      </c>
      <c r="V72" s="8" t="str">
        <f aca="false">IF(H72&gt;=10,"Repeat Buyer","Occasional Buyer")</f>
        <v>Repeat Buyer</v>
      </c>
      <c r="W72" s="8" t="str">
        <f aca="false">IF(AND(K72&lt;70,I72="Low"),"At Risk","Stable")</f>
        <v>Stable</v>
      </c>
      <c r="X72" s="8" t="str">
        <f aca="false">IF(AND(K72&lt;75,I72="Low",J72="Bronze"),"Priority Followup","No Action")</f>
        <v>No Action</v>
      </c>
    </row>
    <row r="73" customFormat="false" ht="15" hidden="false" customHeight="false" outlineLevel="0" collapsed="false">
      <c r="A73" s="3" t="n">
        <v>71</v>
      </c>
      <c r="B73" s="3" t="n">
        <v>23</v>
      </c>
      <c r="C73" s="3" t="s">
        <v>11</v>
      </c>
      <c r="D73" s="3" t="s">
        <v>22</v>
      </c>
      <c r="E73" s="3" t="n">
        <v>91477</v>
      </c>
      <c r="F73" s="3" t="n">
        <v>4</v>
      </c>
      <c r="G73" s="3" t="n">
        <v>3</v>
      </c>
      <c r="H73" s="3" t="n">
        <v>14</v>
      </c>
      <c r="I73" s="3" t="s">
        <v>21</v>
      </c>
      <c r="J73" s="3" t="s">
        <v>19</v>
      </c>
      <c r="K73" s="3" t="n">
        <v>91.6</v>
      </c>
      <c r="L73" s="7" t="str">
        <f aca="false">IF(B73&lt;25,"Gen Z",IF(B73&lt;40,"Millennial",IF(B73&lt;55,"Gen X","Baby Boomer")))</f>
        <v>Gen Z</v>
      </c>
      <c r="M73" s="7" t="str">
        <f aca="false">IF(E73&lt;50000,"Low Income",IF(E73&lt;80000,"Middle Income",IF(E73&lt;100000,"Upper Middle","High Income")))</f>
        <v>Upper Middle</v>
      </c>
      <c r="N73" s="7" t="str">
        <f aca="false">IF(F73&lt;=3,"Poor",IF(F73&lt;=6,"Average",IF(F73&lt;=8,"Good","Excellent")))</f>
        <v>Average</v>
      </c>
      <c r="O73" s="7" t="str">
        <f aca="false">IF(G73&lt;=3,"Poor",IF(G73&lt;=6,"Average",IF(G73&lt;=8,"Good","Excellent")))</f>
        <v>Poor</v>
      </c>
      <c r="P73" s="7" t="str">
        <f aca="false">IF(H73&lt;=5,"Low Frequency",IF(H73&lt;=10,"Moderate",IF(H73&lt;=15,"High","Very High")))</f>
        <v>High</v>
      </c>
      <c r="Q73" s="7" t="str">
        <f aca="false">IF(K73&gt;=90,"Highly Satisfied",IF(K73&gt;=75,"Satisfied",IF(K73&gt;=60,"Neutral","Dissatisfied")))</f>
        <v>Highly Satisfied</v>
      </c>
      <c r="R73" s="7" t="str">
        <f aca="false">UPPER(LEFT(TRIM(J73),1))&amp;LOWER(MID(TRIM(J73),2,100))</f>
        <v>Silver</v>
      </c>
      <c r="S73" s="7" t="str">
        <f aca="false">IF(I73="High","Positive",IF(I73="Medium","Neutral","Negative"))</f>
        <v>Positive</v>
      </c>
      <c r="T73" s="7" t="str">
        <f aca="false">IF(AND(E73&gt;=80000,H73&gt;=15),"Premium",IF(AND(E73&gt;=50000,H73&gt;=10),"Standard","Basic"))</f>
        <v>Standard</v>
      </c>
      <c r="U73" s="7" t="str">
        <f aca="false">IF(AND(F73&gt;=7,G73&gt;=7),"High Quality Experience","Review Needed")</f>
        <v>Review Needed</v>
      </c>
      <c r="V73" s="7" t="str">
        <f aca="false">IF(H73&gt;=10,"Repeat Buyer","Occasional Buyer")</f>
        <v>Repeat Buyer</v>
      </c>
      <c r="W73" s="7" t="str">
        <f aca="false">IF(AND(K73&lt;70,I73="Low"),"At Risk","Stable")</f>
        <v>Stable</v>
      </c>
      <c r="X73" s="7" t="str">
        <f aca="false">IF(AND(K73&lt;75,I73="Low",J73="Bronze"),"Priority Followup","No Action")</f>
        <v>No Action</v>
      </c>
    </row>
    <row r="74" customFormat="false" ht="15" hidden="false" customHeight="false" outlineLevel="0" collapsed="false">
      <c r="A74" s="2" t="n">
        <v>72</v>
      </c>
      <c r="B74" s="2" t="n">
        <v>59</v>
      </c>
      <c r="C74" s="2" t="s">
        <v>11</v>
      </c>
      <c r="D74" s="2" t="s">
        <v>12</v>
      </c>
      <c r="E74" s="2" t="n">
        <v>60308</v>
      </c>
      <c r="F74" s="2" t="n">
        <v>5</v>
      </c>
      <c r="G74" s="2" t="n">
        <v>2</v>
      </c>
      <c r="H74" s="2" t="n">
        <v>6</v>
      </c>
      <c r="I74" s="2" t="s">
        <v>21</v>
      </c>
      <c r="J74" s="2" t="s">
        <v>14</v>
      </c>
      <c r="K74" s="2" t="n">
        <v>76.91</v>
      </c>
      <c r="L74" s="8" t="str">
        <f aca="false">IF(B74&lt;25,"Gen Z",IF(B74&lt;40,"Millennial",IF(B74&lt;55,"Gen X","Baby Boomer")))</f>
        <v>Baby Boomer</v>
      </c>
      <c r="M74" s="8" t="str">
        <f aca="false">IF(E74&lt;50000,"Low Income",IF(E74&lt;80000,"Middle Income",IF(E74&lt;100000,"Upper Middle","High Income")))</f>
        <v>Middle Income</v>
      </c>
      <c r="N74" s="8" t="str">
        <f aca="false">IF(F74&lt;=3,"Poor",IF(F74&lt;=6,"Average",IF(F74&lt;=8,"Good","Excellent")))</f>
        <v>Average</v>
      </c>
      <c r="O74" s="8" t="str">
        <f aca="false">IF(G74&lt;=3,"Poor",IF(G74&lt;=6,"Average",IF(G74&lt;=8,"Good","Excellent")))</f>
        <v>Poor</v>
      </c>
      <c r="P74" s="8" t="str">
        <f aca="false">IF(H74&lt;=5,"Low Frequency",IF(H74&lt;=10,"Moderate",IF(H74&lt;=15,"High","Very High")))</f>
        <v>Moderate</v>
      </c>
      <c r="Q74" s="8" t="str">
        <f aca="false">IF(K74&gt;=90,"Highly Satisfied",IF(K74&gt;=75,"Satisfied",IF(K74&gt;=60,"Neutral","Dissatisfied")))</f>
        <v>Satisfied</v>
      </c>
      <c r="R74" s="8" t="str">
        <f aca="false">UPPER(LEFT(TRIM(J74),1))&amp;LOWER(MID(TRIM(J74),2,100))</f>
        <v>Bronze</v>
      </c>
      <c r="S74" s="8" t="str">
        <f aca="false">IF(I74="High","Positive",IF(I74="Medium","Neutral","Negative"))</f>
        <v>Positive</v>
      </c>
      <c r="T74" s="8" t="str">
        <f aca="false">IF(AND(E74&gt;=80000,H74&gt;=15),"Premium",IF(AND(E74&gt;=50000,H74&gt;=10),"Standard","Basic"))</f>
        <v>Basic</v>
      </c>
      <c r="U74" s="8" t="str">
        <f aca="false">IF(AND(F74&gt;=7,G74&gt;=7),"High Quality Experience","Review Needed")</f>
        <v>Review Needed</v>
      </c>
      <c r="V74" s="8" t="str">
        <f aca="false">IF(H74&gt;=10,"Repeat Buyer","Occasional Buyer")</f>
        <v>Occasional Buyer</v>
      </c>
      <c r="W74" s="8" t="str">
        <f aca="false">IF(AND(K74&lt;70,I74="Low"),"At Risk","Stable")</f>
        <v>Stable</v>
      </c>
      <c r="X74" s="8" t="str">
        <f aca="false">IF(AND(K74&lt;75,I74="Low",J74="Bronze"),"Priority Followup","No Action")</f>
        <v>No Action</v>
      </c>
    </row>
    <row r="75" customFormat="false" ht="15" hidden="false" customHeight="false" outlineLevel="0" collapsed="false">
      <c r="A75" s="3" t="n">
        <v>73</v>
      </c>
      <c r="B75" s="3" t="n">
        <v>21</v>
      </c>
      <c r="C75" s="3" t="s">
        <v>11</v>
      </c>
      <c r="D75" s="3" t="s">
        <v>18</v>
      </c>
      <c r="E75" s="3" t="n">
        <v>43257</v>
      </c>
      <c r="F75" s="3" t="n">
        <v>1</v>
      </c>
      <c r="G75" s="3" t="n">
        <v>4</v>
      </c>
      <c r="H75" s="3" t="n">
        <v>4</v>
      </c>
      <c r="I75" s="3" t="s">
        <v>13</v>
      </c>
      <c r="J75" s="3" t="s">
        <v>19</v>
      </c>
      <c r="K75" s="3" t="n">
        <v>46.58</v>
      </c>
      <c r="L75" s="7" t="str">
        <f aca="false">IF(B75&lt;25,"Gen Z",IF(B75&lt;40,"Millennial",IF(B75&lt;55,"Gen X","Baby Boomer")))</f>
        <v>Gen Z</v>
      </c>
      <c r="M75" s="7" t="str">
        <f aca="false">IF(E75&lt;50000,"Low Income",IF(E75&lt;80000,"Middle Income",IF(E75&lt;100000,"Upper Middle","High Income")))</f>
        <v>Low Income</v>
      </c>
      <c r="N75" s="7" t="str">
        <f aca="false">IF(F75&lt;=3,"Poor",IF(F75&lt;=6,"Average",IF(F75&lt;=8,"Good","Excellent")))</f>
        <v>Poor</v>
      </c>
      <c r="O75" s="7" t="str">
        <f aca="false">IF(G75&lt;=3,"Poor",IF(G75&lt;=6,"Average",IF(G75&lt;=8,"Good","Excellent")))</f>
        <v>Average</v>
      </c>
      <c r="P75" s="7" t="str">
        <f aca="false">IF(H75&lt;=5,"Low Frequency",IF(H75&lt;=10,"Moderate",IF(H75&lt;=15,"High","Very High")))</f>
        <v>Low Frequency</v>
      </c>
      <c r="Q75" s="7" t="str">
        <f aca="false">IF(K75&gt;=90,"Highly Satisfied",IF(K75&gt;=75,"Satisfied",IF(K75&gt;=60,"Neutral","Dissatisfied")))</f>
        <v>Dissatisfied</v>
      </c>
      <c r="R75" s="7" t="str">
        <f aca="false">UPPER(LEFT(TRIM(J75),1))&amp;LOWER(MID(TRIM(J75),2,100))</f>
        <v>Silver</v>
      </c>
      <c r="S75" s="7" t="str">
        <f aca="false">IF(I75="High","Positive",IF(I75="Medium","Neutral","Negative"))</f>
        <v>Negative</v>
      </c>
      <c r="T75" s="7" t="str">
        <f aca="false">IF(AND(E75&gt;=80000,H75&gt;=15),"Premium",IF(AND(E75&gt;=50000,H75&gt;=10),"Standard","Basic"))</f>
        <v>Basic</v>
      </c>
      <c r="U75" s="7" t="str">
        <f aca="false">IF(AND(F75&gt;=7,G75&gt;=7),"High Quality Experience","Review Needed")</f>
        <v>Review Needed</v>
      </c>
      <c r="V75" s="7" t="str">
        <f aca="false">IF(H75&gt;=10,"Repeat Buyer","Occasional Buyer")</f>
        <v>Occasional Buyer</v>
      </c>
      <c r="W75" s="7" t="str">
        <f aca="false">IF(AND(K75&lt;70,I75="Low"),"At Risk","Stable")</f>
        <v>At Risk</v>
      </c>
      <c r="X75" s="7" t="str">
        <f aca="false">IF(AND(K75&lt;75,I75="Low",J75="Bronze"),"Priority Followup","No Action")</f>
        <v>No Action</v>
      </c>
    </row>
    <row r="76" customFormat="false" ht="15" hidden="false" customHeight="false" outlineLevel="0" collapsed="false">
      <c r="A76" s="2" t="n">
        <v>74</v>
      </c>
      <c r="B76" s="2" t="n">
        <v>46</v>
      </c>
      <c r="C76" s="2" t="s">
        <v>11</v>
      </c>
      <c r="D76" s="2" t="s">
        <v>12</v>
      </c>
      <c r="E76" s="2" t="n">
        <v>104318</v>
      </c>
      <c r="F76" s="2" t="n">
        <v>8</v>
      </c>
      <c r="G76" s="2" t="n">
        <v>10</v>
      </c>
      <c r="H76" s="2" t="n">
        <v>9</v>
      </c>
      <c r="I76" s="2" t="s">
        <v>13</v>
      </c>
      <c r="J76" s="2" t="s">
        <v>14</v>
      </c>
      <c r="K76" s="2" t="n">
        <v>100</v>
      </c>
      <c r="L76" s="8" t="str">
        <f aca="false">IF(B76&lt;25,"Gen Z",IF(B76&lt;40,"Millennial",IF(B76&lt;55,"Gen X","Baby Boomer")))</f>
        <v>Gen X</v>
      </c>
      <c r="M76" s="8" t="str">
        <f aca="false">IF(E76&lt;50000,"Low Income",IF(E76&lt;80000,"Middle Income",IF(E76&lt;100000,"Upper Middle","High Income")))</f>
        <v>High Income</v>
      </c>
      <c r="N76" s="8" t="str">
        <f aca="false">IF(F76&lt;=3,"Poor",IF(F76&lt;=6,"Average",IF(F76&lt;=8,"Good","Excellent")))</f>
        <v>Good</v>
      </c>
      <c r="O76" s="8" t="str">
        <f aca="false">IF(G76&lt;=3,"Poor",IF(G76&lt;=6,"Average",IF(G76&lt;=8,"Good","Excellent")))</f>
        <v>Excellent</v>
      </c>
      <c r="P76" s="8" t="str">
        <f aca="false">IF(H76&lt;=5,"Low Frequency",IF(H76&lt;=10,"Moderate",IF(H76&lt;=15,"High","Very High")))</f>
        <v>Moderate</v>
      </c>
      <c r="Q76" s="8" t="str">
        <f aca="false">IF(K76&gt;=90,"Highly Satisfied",IF(K76&gt;=75,"Satisfied",IF(K76&gt;=60,"Neutral","Dissatisfied")))</f>
        <v>Highly Satisfied</v>
      </c>
      <c r="R76" s="8" t="str">
        <f aca="false">UPPER(LEFT(TRIM(J76),1))&amp;LOWER(MID(TRIM(J76),2,100))</f>
        <v>Bronze</v>
      </c>
      <c r="S76" s="8" t="str">
        <f aca="false">IF(I76="High","Positive",IF(I76="Medium","Neutral","Negative"))</f>
        <v>Negative</v>
      </c>
      <c r="T76" s="8" t="str">
        <f aca="false">IF(AND(E76&gt;=80000,H76&gt;=15),"Premium",IF(AND(E76&gt;=50000,H76&gt;=10),"Standard","Basic"))</f>
        <v>Basic</v>
      </c>
      <c r="U76" s="8" t="str">
        <f aca="false">IF(AND(F76&gt;=7,G76&gt;=7),"High Quality Experience","Review Needed")</f>
        <v>High Quality Experience</v>
      </c>
      <c r="V76" s="8" t="str">
        <f aca="false">IF(H76&gt;=10,"Repeat Buyer","Occasional Buyer")</f>
        <v>Occasional Buyer</v>
      </c>
      <c r="W76" s="8" t="str">
        <f aca="false">IF(AND(K76&lt;70,I76="Low"),"At Risk","Stable")</f>
        <v>Stable</v>
      </c>
      <c r="X76" s="8" t="str">
        <f aca="false">IF(AND(K76&lt;75,I76="Low",J76="Bronze"),"Priority Followup","No Action")</f>
        <v>No Action</v>
      </c>
    </row>
    <row r="77" customFormat="false" ht="15" hidden="false" customHeight="false" outlineLevel="0" collapsed="false">
      <c r="A77" s="3" t="n">
        <v>75</v>
      </c>
      <c r="B77" s="3" t="n">
        <v>35</v>
      </c>
      <c r="C77" s="3" t="s">
        <v>11</v>
      </c>
      <c r="D77" s="3" t="s">
        <v>22</v>
      </c>
      <c r="E77" s="3" t="n">
        <v>98548</v>
      </c>
      <c r="F77" s="3" t="n">
        <v>9</v>
      </c>
      <c r="G77" s="3" t="n">
        <v>9</v>
      </c>
      <c r="H77" s="3" t="n">
        <v>10</v>
      </c>
      <c r="I77" s="3" t="s">
        <v>15</v>
      </c>
      <c r="J77" s="3" t="s">
        <v>19</v>
      </c>
      <c r="K77" s="3" t="n">
        <v>100</v>
      </c>
      <c r="L77" s="7" t="str">
        <f aca="false">IF(B77&lt;25,"Gen Z",IF(B77&lt;40,"Millennial",IF(B77&lt;55,"Gen X","Baby Boomer")))</f>
        <v>Millennial</v>
      </c>
      <c r="M77" s="7" t="str">
        <f aca="false">IF(E77&lt;50000,"Low Income",IF(E77&lt;80000,"Middle Income",IF(E77&lt;100000,"Upper Middle","High Income")))</f>
        <v>Upper Middle</v>
      </c>
      <c r="N77" s="7" t="str">
        <f aca="false">IF(F77&lt;=3,"Poor",IF(F77&lt;=6,"Average",IF(F77&lt;=8,"Good","Excellent")))</f>
        <v>Excellent</v>
      </c>
      <c r="O77" s="7" t="str">
        <f aca="false">IF(G77&lt;=3,"Poor",IF(G77&lt;=6,"Average",IF(G77&lt;=8,"Good","Excellent")))</f>
        <v>Excellent</v>
      </c>
      <c r="P77" s="7" t="str">
        <f aca="false">IF(H77&lt;=5,"Low Frequency",IF(H77&lt;=10,"Moderate",IF(H77&lt;=15,"High","Very High")))</f>
        <v>Moderate</v>
      </c>
      <c r="Q77" s="7" t="str">
        <f aca="false">IF(K77&gt;=90,"Highly Satisfied",IF(K77&gt;=75,"Satisfied",IF(K77&gt;=60,"Neutral","Dissatisfied")))</f>
        <v>Highly Satisfied</v>
      </c>
      <c r="R77" s="7" t="str">
        <f aca="false">UPPER(LEFT(TRIM(J77),1))&amp;LOWER(MID(TRIM(J77),2,100))</f>
        <v>Silver</v>
      </c>
      <c r="S77" s="7" t="str">
        <f aca="false">IF(I77="High","Positive",IF(I77="Medium","Neutral","Negative"))</f>
        <v>Neutral</v>
      </c>
      <c r="T77" s="7" t="str">
        <f aca="false">IF(AND(E77&gt;=80000,H77&gt;=15),"Premium",IF(AND(E77&gt;=50000,H77&gt;=10),"Standard","Basic"))</f>
        <v>Standard</v>
      </c>
      <c r="U77" s="7" t="str">
        <f aca="false">IF(AND(F77&gt;=7,G77&gt;=7),"High Quality Experience","Review Needed")</f>
        <v>High Quality Experience</v>
      </c>
      <c r="V77" s="7" t="str">
        <f aca="false">IF(H77&gt;=10,"Repeat Buyer","Occasional Buyer")</f>
        <v>Repeat Buyer</v>
      </c>
      <c r="W77" s="7" t="str">
        <f aca="false">IF(AND(K77&lt;70,I77="Low"),"At Risk","Stable")</f>
        <v>Stable</v>
      </c>
      <c r="X77" s="7" t="str">
        <f aca="false">IF(AND(K77&lt;75,I77="Low",J77="Bronze"),"Priority Followup","No Action")</f>
        <v>No Action</v>
      </c>
    </row>
    <row r="78" customFormat="false" ht="15" hidden="false" customHeight="false" outlineLevel="0" collapsed="false">
      <c r="A78" s="2" t="n">
        <v>76</v>
      </c>
      <c r="B78" s="2" t="n">
        <v>43</v>
      </c>
      <c r="C78" s="2" t="s">
        <v>11</v>
      </c>
      <c r="D78" s="2" t="s">
        <v>23</v>
      </c>
      <c r="E78" s="2" t="n">
        <v>90145</v>
      </c>
      <c r="F78" s="2" t="n">
        <v>3</v>
      </c>
      <c r="G78" s="2" t="n">
        <v>6</v>
      </c>
      <c r="H78" s="2" t="n">
        <v>3</v>
      </c>
      <c r="I78" s="2" t="s">
        <v>15</v>
      </c>
      <c r="J78" s="2" t="s">
        <v>14</v>
      </c>
      <c r="K78" s="2" t="n">
        <v>78.7</v>
      </c>
      <c r="L78" s="8" t="str">
        <f aca="false">IF(B78&lt;25,"Gen Z",IF(B78&lt;40,"Millennial",IF(B78&lt;55,"Gen X","Baby Boomer")))</f>
        <v>Gen X</v>
      </c>
      <c r="M78" s="8" t="str">
        <f aca="false">IF(E78&lt;50000,"Low Income",IF(E78&lt;80000,"Middle Income",IF(E78&lt;100000,"Upper Middle","High Income")))</f>
        <v>Upper Middle</v>
      </c>
      <c r="N78" s="8" t="str">
        <f aca="false">IF(F78&lt;=3,"Poor",IF(F78&lt;=6,"Average",IF(F78&lt;=8,"Good","Excellent")))</f>
        <v>Poor</v>
      </c>
      <c r="O78" s="8" t="str">
        <f aca="false">IF(G78&lt;=3,"Poor",IF(G78&lt;=6,"Average",IF(G78&lt;=8,"Good","Excellent")))</f>
        <v>Average</v>
      </c>
      <c r="P78" s="8" t="str">
        <f aca="false">IF(H78&lt;=5,"Low Frequency",IF(H78&lt;=10,"Moderate",IF(H78&lt;=15,"High","Very High")))</f>
        <v>Low Frequency</v>
      </c>
      <c r="Q78" s="8" t="str">
        <f aca="false">IF(K78&gt;=90,"Highly Satisfied",IF(K78&gt;=75,"Satisfied",IF(K78&gt;=60,"Neutral","Dissatisfied")))</f>
        <v>Satisfied</v>
      </c>
      <c r="R78" s="8" t="str">
        <f aca="false">UPPER(LEFT(TRIM(J78),1))&amp;LOWER(MID(TRIM(J78),2,100))</f>
        <v>Bronze</v>
      </c>
      <c r="S78" s="8" t="str">
        <f aca="false">IF(I78="High","Positive",IF(I78="Medium","Neutral","Negative"))</f>
        <v>Neutral</v>
      </c>
      <c r="T78" s="8" t="str">
        <f aca="false">IF(AND(E78&gt;=80000,H78&gt;=15),"Premium",IF(AND(E78&gt;=50000,H78&gt;=10),"Standard","Basic"))</f>
        <v>Basic</v>
      </c>
      <c r="U78" s="8" t="str">
        <f aca="false">IF(AND(F78&gt;=7,G78&gt;=7),"High Quality Experience","Review Needed")</f>
        <v>Review Needed</v>
      </c>
      <c r="V78" s="8" t="str">
        <f aca="false">IF(H78&gt;=10,"Repeat Buyer","Occasional Buyer")</f>
        <v>Occasional Buyer</v>
      </c>
      <c r="W78" s="8" t="str">
        <f aca="false">IF(AND(K78&lt;70,I78="Low"),"At Risk","Stable")</f>
        <v>Stable</v>
      </c>
      <c r="X78" s="8" t="str">
        <f aca="false">IF(AND(K78&lt;75,I78="Low",J78="Bronze"),"Priority Followup","No Action")</f>
        <v>No Action</v>
      </c>
    </row>
    <row r="79" customFormat="false" ht="15" hidden="false" customHeight="false" outlineLevel="0" collapsed="false">
      <c r="A79" s="3" t="n">
        <v>77</v>
      </c>
      <c r="B79" s="3" t="n">
        <v>61</v>
      </c>
      <c r="C79" s="3" t="s">
        <v>11</v>
      </c>
      <c r="D79" s="3" t="s">
        <v>23</v>
      </c>
      <c r="E79" s="3" t="n">
        <v>64282</v>
      </c>
      <c r="F79" s="3" t="n">
        <v>10</v>
      </c>
      <c r="G79" s="3" t="n">
        <v>1</v>
      </c>
      <c r="H79" s="3" t="n">
        <v>16</v>
      </c>
      <c r="I79" s="3" t="s">
        <v>15</v>
      </c>
      <c r="J79" s="3" t="s">
        <v>14</v>
      </c>
      <c r="K79" s="3" t="n">
        <v>83.31</v>
      </c>
      <c r="L79" s="7" t="str">
        <f aca="false">IF(B79&lt;25,"Gen Z",IF(B79&lt;40,"Millennial",IF(B79&lt;55,"Gen X","Baby Boomer")))</f>
        <v>Baby Boomer</v>
      </c>
      <c r="M79" s="7" t="str">
        <f aca="false">IF(E79&lt;50000,"Low Income",IF(E79&lt;80000,"Middle Income",IF(E79&lt;100000,"Upper Middle","High Income")))</f>
        <v>Middle Income</v>
      </c>
      <c r="N79" s="7" t="str">
        <f aca="false">IF(F79&lt;=3,"Poor",IF(F79&lt;=6,"Average",IF(F79&lt;=8,"Good","Excellent")))</f>
        <v>Excellent</v>
      </c>
      <c r="O79" s="7" t="str">
        <f aca="false">IF(G79&lt;=3,"Poor",IF(G79&lt;=6,"Average",IF(G79&lt;=8,"Good","Excellent")))</f>
        <v>Poor</v>
      </c>
      <c r="P79" s="7" t="str">
        <f aca="false">IF(H79&lt;=5,"Low Frequency",IF(H79&lt;=10,"Moderate",IF(H79&lt;=15,"High","Very High")))</f>
        <v>Very High</v>
      </c>
      <c r="Q79" s="7" t="str">
        <f aca="false">IF(K79&gt;=90,"Highly Satisfied",IF(K79&gt;=75,"Satisfied",IF(K79&gt;=60,"Neutral","Dissatisfied")))</f>
        <v>Satisfied</v>
      </c>
      <c r="R79" s="7" t="str">
        <f aca="false">UPPER(LEFT(TRIM(J79),1))&amp;LOWER(MID(TRIM(J79),2,100))</f>
        <v>Bronze</v>
      </c>
      <c r="S79" s="7" t="str">
        <f aca="false">IF(I79="High","Positive",IF(I79="Medium","Neutral","Negative"))</f>
        <v>Neutral</v>
      </c>
      <c r="T79" s="7" t="str">
        <f aca="false">IF(AND(E79&gt;=80000,H79&gt;=15),"Premium",IF(AND(E79&gt;=50000,H79&gt;=10),"Standard","Basic"))</f>
        <v>Standard</v>
      </c>
      <c r="U79" s="7" t="str">
        <f aca="false">IF(AND(F79&gt;=7,G79&gt;=7),"High Quality Experience","Review Needed")</f>
        <v>Review Needed</v>
      </c>
      <c r="V79" s="7" t="str">
        <f aca="false">IF(H79&gt;=10,"Repeat Buyer","Occasional Buyer")</f>
        <v>Repeat Buyer</v>
      </c>
      <c r="W79" s="7" t="str">
        <f aca="false">IF(AND(K79&lt;70,I79="Low"),"At Risk","Stable")</f>
        <v>Stable</v>
      </c>
      <c r="X79" s="7" t="str">
        <f aca="false">IF(AND(K79&lt;75,I79="Low",J79="Bronze"),"Priority Followup","No Action")</f>
        <v>No Action</v>
      </c>
    </row>
    <row r="80" customFormat="false" ht="15" hidden="false" customHeight="false" outlineLevel="0" collapsed="false">
      <c r="A80" s="2" t="n">
        <v>78</v>
      </c>
      <c r="B80" s="2" t="n">
        <v>51</v>
      </c>
      <c r="C80" s="2" t="s">
        <v>11</v>
      </c>
      <c r="D80" s="2" t="s">
        <v>23</v>
      </c>
      <c r="E80" s="2" t="n">
        <v>58514</v>
      </c>
      <c r="F80" s="2" t="n">
        <v>3</v>
      </c>
      <c r="G80" s="2" t="n">
        <v>6</v>
      </c>
      <c r="H80" s="2" t="n">
        <v>17</v>
      </c>
      <c r="I80" s="2" t="s">
        <v>15</v>
      </c>
      <c r="J80" s="2" t="s">
        <v>14</v>
      </c>
      <c r="K80" s="2" t="n">
        <v>87.35</v>
      </c>
      <c r="L80" s="8" t="str">
        <f aca="false">IF(B80&lt;25,"Gen Z",IF(B80&lt;40,"Millennial",IF(B80&lt;55,"Gen X","Baby Boomer")))</f>
        <v>Gen X</v>
      </c>
      <c r="M80" s="8" t="str">
        <f aca="false">IF(E80&lt;50000,"Low Income",IF(E80&lt;80000,"Middle Income",IF(E80&lt;100000,"Upper Middle","High Income")))</f>
        <v>Middle Income</v>
      </c>
      <c r="N80" s="8" t="str">
        <f aca="false">IF(F80&lt;=3,"Poor",IF(F80&lt;=6,"Average",IF(F80&lt;=8,"Good","Excellent")))</f>
        <v>Poor</v>
      </c>
      <c r="O80" s="8" t="str">
        <f aca="false">IF(G80&lt;=3,"Poor",IF(G80&lt;=6,"Average",IF(G80&lt;=8,"Good","Excellent")))</f>
        <v>Average</v>
      </c>
      <c r="P80" s="8" t="str">
        <f aca="false">IF(H80&lt;=5,"Low Frequency",IF(H80&lt;=10,"Moderate",IF(H80&lt;=15,"High","Very High")))</f>
        <v>Very High</v>
      </c>
      <c r="Q80" s="8" t="str">
        <f aca="false">IF(K80&gt;=90,"Highly Satisfied",IF(K80&gt;=75,"Satisfied",IF(K80&gt;=60,"Neutral","Dissatisfied")))</f>
        <v>Satisfied</v>
      </c>
      <c r="R80" s="8" t="str">
        <f aca="false">UPPER(LEFT(TRIM(J80),1))&amp;LOWER(MID(TRIM(J80),2,100))</f>
        <v>Bronze</v>
      </c>
      <c r="S80" s="8" t="str">
        <f aca="false">IF(I80="High","Positive",IF(I80="Medium","Neutral","Negative"))</f>
        <v>Neutral</v>
      </c>
      <c r="T80" s="8" t="str">
        <f aca="false">IF(AND(E80&gt;=80000,H80&gt;=15),"Premium",IF(AND(E80&gt;=50000,H80&gt;=10),"Standard","Basic"))</f>
        <v>Standard</v>
      </c>
      <c r="U80" s="8" t="str">
        <f aca="false">IF(AND(F80&gt;=7,G80&gt;=7),"High Quality Experience","Review Needed")</f>
        <v>Review Needed</v>
      </c>
      <c r="V80" s="8" t="str">
        <f aca="false">IF(H80&gt;=10,"Repeat Buyer","Occasional Buyer")</f>
        <v>Repeat Buyer</v>
      </c>
      <c r="W80" s="8" t="str">
        <f aca="false">IF(AND(K80&lt;70,I80="Low"),"At Risk","Stable")</f>
        <v>Stable</v>
      </c>
      <c r="X80" s="8" t="str">
        <f aca="false">IF(AND(K80&lt;75,I80="Low",J80="Bronze"),"Priority Followup","No Action")</f>
        <v>No Action</v>
      </c>
    </row>
    <row r="81" customFormat="false" ht="15" hidden="false" customHeight="false" outlineLevel="0" collapsed="false">
      <c r="A81" s="3" t="n">
        <v>79</v>
      </c>
      <c r="B81" s="3" t="n">
        <v>27</v>
      </c>
      <c r="C81" s="3" t="s">
        <v>11</v>
      </c>
      <c r="D81" s="3" t="s">
        <v>18</v>
      </c>
      <c r="E81" s="3" t="n">
        <v>47155</v>
      </c>
      <c r="F81" s="3" t="n">
        <v>9</v>
      </c>
      <c r="G81" s="3" t="n">
        <v>5</v>
      </c>
      <c r="H81" s="3" t="n">
        <v>1</v>
      </c>
      <c r="I81" s="3" t="s">
        <v>21</v>
      </c>
      <c r="J81" s="3" t="s">
        <v>19</v>
      </c>
      <c r="K81" s="3" t="n">
        <v>87.48</v>
      </c>
      <c r="L81" s="7" t="str">
        <f aca="false">IF(B81&lt;25,"Gen Z",IF(B81&lt;40,"Millennial",IF(B81&lt;55,"Gen X","Baby Boomer")))</f>
        <v>Millennial</v>
      </c>
      <c r="M81" s="7" t="str">
        <f aca="false">IF(E81&lt;50000,"Low Income",IF(E81&lt;80000,"Middle Income",IF(E81&lt;100000,"Upper Middle","High Income")))</f>
        <v>Low Income</v>
      </c>
      <c r="N81" s="7" t="str">
        <f aca="false">IF(F81&lt;=3,"Poor",IF(F81&lt;=6,"Average",IF(F81&lt;=8,"Good","Excellent")))</f>
        <v>Excellent</v>
      </c>
      <c r="O81" s="7" t="str">
        <f aca="false">IF(G81&lt;=3,"Poor",IF(G81&lt;=6,"Average",IF(G81&lt;=8,"Good","Excellent")))</f>
        <v>Average</v>
      </c>
      <c r="P81" s="7" t="str">
        <f aca="false">IF(H81&lt;=5,"Low Frequency",IF(H81&lt;=10,"Moderate",IF(H81&lt;=15,"High","Very High")))</f>
        <v>Low Frequency</v>
      </c>
      <c r="Q81" s="7" t="str">
        <f aca="false">IF(K81&gt;=90,"Highly Satisfied",IF(K81&gt;=75,"Satisfied",IF(K81&gt;=60,"Neutral","Dissatisfied")))</f>
        <v>Satisfied</v>
      </c>
      <c r="R81" s="7" t="str">
        <f aca="false">UPPER(LEFT(TRIM(J81),1))&amp;LOWER(MID(TRIM(J81),2,100))</f>
        <v>Silver</v>
      </c>
      <c r="S81" s="7" t="str">
        <f aca="false">IF(I81="High","Positive",IF(I81="Medium","Neutral","Negative"))</f>
        <v>Positive</v>
      </c>
      <c r="T81" s="7" t="str">
        <f aca="false">IF(AND(E81&gt;=80000,H81&gt;=15),"Premium",IF(AND(E81&gt;=50000,H81&gt;=10),"Standard","Basic"))</f>
        <v>Basic</v>
      </c>
      <c r="U81" s="7" t="str">
        <f aca="false">IF(AND(F81&gt;=7,G81&gt;=7),"High Quality Experience","Review Needed")</f>
        <v>Review Needed</v>
      </c>
      <c r="V81" s="7" t="str">
        <f aca="false">IF(H81&gt;=10,"Repeat Buyer","Occasional Buyer")</f>
        <v>Occasional Buyer</v>
      </c>
      <c r="W81" s="7" t="str">
        <f aca="false">IF(AND(K81&lt;70,I81="Low"),"At Risk","Stable")</f>
        <v>Stable</v>
      </c>
      <c r="X81" s="7" t="str">
        <f aca="false">IF(AND(K81&lt;75,I81="Low",J81="Bronze"),"Priority Followup","No Action")</f>
        <v>No Action</v>
      </c>
    </row>
    <row r="82" customFormat="false" ht="15" hidden="false" customHeight="false" outlineLevel="0" collapsed="false">
      <c r="A82" s="2" t="n">
        <v>80</v>
      </c>
      <c r="B82" s="2" t="n">
        <v>53</v>
      </c>
      <c r="C82" s="2" t="s">
        <v>11</v>
      </c>
      <c r="D82" s="2" t="s">
        <v>12</v>
      </c>
      <c r="E82" s="2" t="n">
        <v>95408</v>
      </c>
      <c r="F82" s="2" t="n">
        <v>9</v>
      </c>
      <c r="G82" s="2" t="n">
        <v>8</v>
      </c>
      <c r="H82" s="2" t="n">
        <v>11</v>
      </c>
      <c r="I82" s="2" t="s">
        <v>13</v>
      </c>
      <c r="J82" s="2" t="s">
        <v>14</v>
      </c>
      <c r="K82" s="2" t="n">
        <v>100</v>
      </c>
      <c r="L82" s="8" t="str">
        <f aca="false">IF(B82&lt;25,"Gen Z",IF(B82&lt;40,"Millennial",IF(B82&lt;55,"Gen X","Baby Boomer")))</f>
        <v>Gen X</v>
      </c>
      <c r="M82" s="8" t="str">
        <f aca="false">IF(E82&lt;50000,"Low Income",IF(E82&lt;80000,"Middle Income",IF(E82&lt;100000,"Upper Middle","High Income")))</f>
        <v>Upper Middle</v>
      </c>
      <c r="N82" s="8" t="str">
        <f aca="false">IF(F82&lt;=3,"Poor",IF(F82&lt;=6,"Average",IF(F82&lt;=8,"Good","Excellent")))</f>
        <v>Excellent</v>
      </c>
      <c r="O82" s="8" t="str">
        <f aca="false">IF(G82&lt;=3,"Poor",IF(G82&lt;=6,"Average",IF(G82&lt;=8,"Good","Excellent")))</f>
        <v>Good</v>
      </c>
      <c r="P82" s="8" t="str">
        <f aca="false">IF(H82&lt;=5,"Low Frequency",IF(H82&lt;=10,"Moderate",IF(H82&lt;=15,"High","Very High")))</f>
        <v>High</v>
      </c>
      <c r="Q82" s="8" t="str">
        <f aca="false">IF(K82&gt;=90,"Highly Satisfied",IF(K82&gt;=75,"Satisfied",IF(K82&gt;=60,"Neutral","Dissatisfied")))</f>
        <v>Highly Satisfied</v>
      </c>
      <c r="R82" s="8" t="str">
        <f aca="false">UPPER(LEFT(TRIM(J82),1))&amp;LOWER(MID(TRIM(J82),2,100))</f>
        <v>Bronze</v>
      </c>
      <c r="S82" s="8" t="str">
        <f aca="false">IF(I82="High","Positive",IF(I82="Medium","Neutral","Negative"))</f>
        <v>Negative</v>
      </c>
      <c r="T82" s="8" t="str">
        <f aca="false">IF(AND(E82&gt;=80000,H82&gt;=15),"Premium",IF(AND(E82&gt;=50000,H82&gt;=10),"Standard","Basic"))</f>
        <v>Standard</v>
      </c>
      <c r="U82" s="8" t="str">
        <f aca="false">IF(AND(F82&gt;=7,G82&gt;=7),"High Quality Experience","Review Needed")</f>
        <v>High Quality Experience</v>
      </c>
      <c r="V82" s="8" t="str">
        <f aca="false">IF(H82&gt;=10,"Repeat Buyer","Occasional Buyer")</f>
        <v>Repeat Buyer</v>
      </c>
      <c r="W82" s="8" t="str">
        <f aca="false">IF(AND(K82&lt;70,I82="Low"),"At Risk","Stable")</f>
        <v>Stable</v>
      </c>
      <c r="X82" s="8" t="str">
        <f aca="false">IF(AND(K82&lt;75,I82="Low",J82="Bronze"),"Priority Followup","No Action")</f>
        <v>No Action</v>
      </c>
    </row>
    <row r="83" customFormat="false" ht="15" hidden="false" customHeight="false" outlineLevel="0" collapsed="false">
      <c r="A83" s="3" t="n">
        <v>81</v>
      </c>
      <c r="B83" s="3" t="n">
        <v>31</v>
      </c>
      <c r="C83" s="3" t="s">
        <v>11</v>
      </c>
      <c r="D83" s="3" t="s">
        <v>18</v>
      </c>
      <c r="E83" s="3" t="n">
        <v>102144</v>
      </c>
      <c r="F83" s="3" t="n">
        <v>7</v>
      </c>
      <c r="G83" s="3" t="n">
        <v>9</v>
      </c>
      <c r="H83" s="3" t="n">
        <v>2</v>
      </c>
      <c r="I83" s="3" t="s">
        <v>13</v>
      </c>
      <c r="J83" s="3" t="s">
        <v>19</v>
      </c>
      <c r="K83" s="3" t="n">
        <v>91.72</v>
      </c>
      <c r="L83" s="7" t="str">
        <f aca="false">IF(B83&lt;25,"Gen Z",IF(B83&lt;40,"Millennial",IF(B83&lt;55,"Gen X","Baby Boomer")))</f>
        <v>Millennial</v>
      </c>
      <c r="M83" s="7" t="str">
        <f aca="false">IF(E83&lt;50000,"Low Income",IF(E83&lt;80000,"Middle Income",IF(E83&lt;100000,"Upper Middle","High Income")))</f>
        <v>High Income</v>
      </c>
      <c r="N83" s="7" t="str">
        <f aca="false">IF(F83&lt;=3,"Poor",IF(F83&lt;=6,"Average",IF(F83&lt;=8,"Good","Excellent")))</f>
        <v>Good</v>
      </c>
      <c r="O83" s="7" t="str">
        <f aca="false">IF(G83&lt;=3,"Poor",IF(G83&lt;=6,"Average",IF(G83&lt;=8,"Good","Excellent")))</f>
        <v>Excellent</v>
      </c>
      <c r="P83" s="7" t="str">
        <f aca="false">IF(H83&lt;=5,"Low Frequency",IF(H83&lt;=10,"Moderate",IF(H83&lt;=15,"High","Very High")))</f>
        <v>Low Frequency</v>
      </c>
      <c r="Q83" s="7" t="str">
        <f aca="false">IF(K83&gt;=90,"Highly Satisfied",IF(K83&gt;=75,"Satisfied",IF(K83&gt;=60,"Neutral","Dissatisfied")))</f>
        <v>Highly Satisfied</v>
      </c>
      <c r="R83" s="7" t="str">
        <f aca="false">UPPER(LEFT(TRIM(J83),1))&amp;LOWER(MID(TRIM(J83),2,100))</f>
        <v>Silver</v>
      </c>
      <c r="S83" s="7" t="str">
        <f aca="false">IF(I83="High","Positive",IF(I83="Medium","Neutral","Negative"))</f>
        <v>Negative</v>
      </c>
      <c r="T83" s="7" t="str">
        <f aca="false">IF(AND(E83&gt;=80000,H83&gt;=15),"Premium",IF(AND(E83&gt;=50000,H83&gt;=10),"Standard","Basic"))</f>
        <v>Basic</v>
      </c>
      <c r="U83" s="7" t="str">
        <f aca="false">IF(AND(F83&gt;=7,G83&gt;=7),"High Quality Experience","Review Needed")</f>
        <v>High Quality Experience</v>
      </c>
      <c r="V83" s="7" t="str">
        <f aca="false">IF(H83&gt;=10,"Repeat Buyer","Occasional Buyer")</f>
        <v>Occasional Buyer</v>
      </c>
      <c r="W83" s="7" t="str">
        <f aca="false">IF(AND(K83&lt;70,I83="Low"),"At Risk","Stable")</f>
        <v>Stable</v>
      </c>
      <c r="X83" s="7" t="str">
        <f aca="false">IF(AND(K83&lt;75,I83="Low",J83="Bronze"),"Priority Followup","No Action")</f>
        <v>No Action</v>
      </c>
    </row>
    <row r="84" customFormat="false" ht="15" hidden="false" customHeight="false" outlineLevel="0" collapsed="false">
      <c r="A84" s="2" t="n">
        <v>82</v>
      </c>
      <c r="B84" s="2" t="n">
        <v>48</v>
      </c>
      <c r="C84" s="2" t="s">
        <v>11</v>
      </c>
      <c r="D84" s="2" t="s">
        <v>20</v>
      </c>
      <c r="E84" s="2" t="n">
        <v>84868</v>
      </c>
      <c r="F84" s="2" t="n">
        <v>5</v>
      </c>
      <c r="G84" s="2" t="n">
        <v>4</v>
      </c>
      <c r="H84" s="2" t="n">
        <v>11</v>
      </c>
      <c r="I84" s="2" t="s">
        <v>13</v>
      </c>
      <c r="J84" s="2" t="s">
        <v>16</v>
      </c>
      <c r="K84" s="2" t="n">
        <v>71.21</v>
      </c>
      <c r="L84" s="8" t="str">
        <f aca="false">IF(B84&lt;25,"Gen Z",IF(B84&lt;40,"Millennial",IF(B84&lt;55,"Gen X","Baby Boomer")))</f>
        <v>Gen X</v>
      </c>
      <c r="M84" s="8" t="str">
        <f aca="false">IF(E84&lt;50000,"Low Income",IF(E84&lt;80000,"Middle Income",IF(E84&lt;100000,"Upper Middle","High Income")))</f>
        <v>Upper Middle</v>
      </c>
      <c r="N84" s="8" t="str">
        <f aca="false">IF(F84&lt;=3,"Poor",IF(F84&lt;=6,"Average",IF(F84&lt;=8,"Good","Excellent")))</f>
        <v>Average</v>
      </c>
      <c r="O84" s="8" t="str">
        <f aca="false">IF(G84&lt;=3,"Poor",IF(G84&lt;=6,"Average",IF(G84&lt;=8,"Good","Excellent")))</f>
        <v>Average</v>
      </c>
      <c r="P84" s="8" t="str">
        <f aca="false">IF(H84&lt;=5,"Low Frequency",IF(H84&lt;=10,"Moderate",IF(H84&lt;=15,"High","Very High")))</f>
        <v>High</v>
      </c>
      <c r="Q84" s="8" t="str">
        <f aca="false">IF(K84&gt;=90,"Highly Satisfied",IF(K84&gt;=75,"Satisfied",IF(K84&gt;=60,"Neutral","Dissatisfied")))</f>
        <v>Neutral</v>
      </c>
      <c r="R84" s="8" t="str">
        <f aca="false">UPPER(LEFT(TRIM(J84),1))&amp;LOWER(MID(TRIM(J84),2,100))</f>
        <v>Gold</v>
      </c>
      <c r="S84" s="8" t="str">
        <f aca="false">IF(I84="High","Positive",IF(I84="Medium","Neutral","Negative"))</f>
        <v>Negative</v>
      </c>
      <c r="T84" s="8" t="str">
        <f aca="false">IF(AND(E84&gt;=80000,H84&gt;=15),"Premium",IF(AND(E84&gt;=50000,H84&gt;=10),"Standard","Basic"))</f>
        <v>Standard</v>
      </c>
      <c r="U84" s="8" t="str">
        <f aca="false">IF(AND(F84&gt;=7,G84&gt;=7),"High Quality Experience","Review Needed")</f>
        <v>Review Needed</v>
      </c>
      <c r="V84" s="8" t="str">
        <f aca="false">IF(H84&gt;=10,"Repeat Buyer","Occasional Buyer")</f>
        <v>Repeat Buyer</v>
      </c>
      <c r="W84" s="8" t="str">
        <f aca="false">IF(AND(K84&lt;70,I84="Low"),"At Risk","Stable")</f>
        <v>Stable</v>
      </c>
      <c r="X84" s="8" t="str">
        <f aca="false">IF(AND(K84&lt;75,I84="Low",J84="Bronze"),"Priority Followup","No Action")</f>
        <v>No Action</v>
      </c>
    </row>
    <row r="85" customFormat="false" ht="15" hidden="false" customHeight="false" outlineLevel="0" collapsed="false">
      <c r="A85" s="3" t="n">
        <v>83</v>
      </c>
      <c r="B85" s="3" t="n">
        <v>65</v>
      </c>
      <c r="C85" s="3" t="s">
        <v>11</v>
      </c>
      <c r="D85" s="3" t="s">
        <v>12</v>
      </c>
      <c r="E85" s="3" t="n">
        <v>56005</v>
      </c>
      <c r="F85" s="3" t="n">
        <v>1</v>
      </c>
      <c r="G85" s="3" t="n">
        <v>8</v>
      </c>
      <c r="H85" s="3" t="n">
        <v>12</v>
      </c>
      <c r="I85" s="3" t="s">
        <v>13</v>
      </c>
      <c r="J85" s="3" t="s">
        <v>16</v>
      </c>
      <c r="K85" s="3" t="n">
        <v>88.37</v>
      </c>
      <c r="L85" s="7" t="str">
        <f aca="false">IF(B85&lt;25,"Gen Z",IF(B85&lt;40,"Millennial",IF(B85&lt;55,"Gen X","Baby Boomer")))</f>
        <v>Baby Boomer</v>
      </c>
      <c r="M85" s="7" t="str">
        <f aca="false">IF(E85&lt;50000,"Low Income",IF(E85&lt;80000,"Middle Income",IF(E85&lt;100000,"Upper Middle","High Income")))</f>
        <v>Middle Income</v>
      </c>
      <c r="N85" s="7" t="str">
        <f aca="false">IF(F85&lt;=3,"Poor",IF(F85&lt;=6,"Average",IF(F85&lt;=8,"Good","Excellent")))</f>
        <v>Poor</v>
      </c>
      <c r="O85" s="7" t="str">
        <f aca="false">IF(G85&lt;=3,"Poor",IF(G85&lt;=6,"Average",IF(G85&lt;=8,"Good","Excellent")))</f>
        <v>Good</v>
      </c>
      <c r="P85" s="7" t="str">
        <f aca="false">IF(H85&lt;=5,"Low Frequency",IF(H85&lt;=10,"Moderate",IF(H85&lt;=15,"High","Very High")))</f>
        <v>High</v>
      </c>
      <c r="Q85" s="7" t="str">
        <f aca="false">IF(K85&gt;=90,"Highly Satisfied",IF(K85&gt;=75,"Satisfied",IF(K85&gt;=60,"Neutral","Dissatisfied")))</f>
        <v>Satisfied</v>
      </c>
      <c r="R85" s="7" t="str">
        <f aca="false">UPPER(LEFT(TRIM(J85),1))&amp;LOWER(MID(TRIM(J85),2,100))</f>
        <v>Gold</v>
      </c>
      <c r="S85" s="7" t="str">
        <f aca="false">IF(I85="High","Positive",IF(I85="Medium","Neutral","Negative"))</f>
        <v>Negative</v>
      </c>
      <c r="T85" s="7" t="str">
        <f aca="false">IF(AND(E85&gt;=80000,H85&gt;=15),"Premium",IF(AND(E85&gt;=50000,H85&gt;=10),"Standard","Basic"))</f>
        <v>Standard</v>
      </c>
      <c r="U85" s="7" t="str">
        <f aca="false">IF(AND(F85&gt;=7,G85&gt;=7),"High Quality Experience","Review Needed")</f>
        <v>Review Needed</v>
      </c>
      <c r="V85" s="7" t="str">
        <f aca="false">IF(H85&gt;=10,"Repeat Buyer","Occasional Buyer")</f>
        <v>Repeat Buyer</v>
      </c>
      <c r="W85" s="7" t="str">
        <f aca="false">IF(AND(K85&lt;70,I85="Low"),"At Risk","Stable")</f>
        <v>Stable</v>
      </c>
      <c r="X85" s="7" t="str">
        <f aca="false">IF(AND(K85&lt;75,I85="Low",J85="Bronze"),"Priority Followup","No Action")</f>
        <v>No Action</v>
      </c>
    </row>
    <row r="86" customFormat="false" ht="15" hidden="false" customHeight="false" outlineLevel="0" collapsed="false">
      <c r="A86" s="2" t="n">
        <v>84</v>
      </c>
      <c r="B86" s="2" t="n">
        <v>32</v>
      </c>
      <c r="C86" s="2" t="s">
        <v>11</v>
      </c>
      <c r="D86" s="2" t="s">
        <v>22</v>
      </c>
      <c r="E86" s="2" t="n">
        <v>41451</v>
      </c>
      <c r="F86" s="2" t="n">
        <v>9</v>
      </c>
      <c r="G86" s="2" t="n">
        <v>8</v>
      </c>
      <c r="H86" s="2" t="n">
        <v>1</v>
      </c>
      <c r="I86" s="2" t="s">
        <v>13</v>
      </c>
      <c r="J86" s="2" t="s">
        <v>16</v>
      </c>
      <c r="K86" s="2" t="n">
        <v>100</v>
      </c>
      <c r="L86" s="8" t="str">
        <f aca="false">IF(B86&lt;25,"Gen Z",IF(B86&lt;40,"Millennial",IF(B86&lt;55,"Gen X","Baby Boomer")))</f>
        <v>Millennial</v>
      </c>
      <c r="M86" s="8" t="str">
        <f aca="false">IF(E86&lt;50000,"Low Income",IF(E86&lt;80000,"Middle Income",IF(E86&lt;100000,"Upper Middle","High Income")))</f>
        <v>Low Income</v>
      </c>
      <c r="N86" s="8" t="str">
        <f aca="false">IF(F86&lt;=3,"Poor",IF(F86&lt;=6,"Average",IF(F86&lt;=8,"Good","Excellent")))</f>
        <v>Excellent</v>
      </c>
      <c r="O86" s="8" t="str">
        <f aca="false">IF(G86&lt;=3,"Poor",IF(G86&lt;=6,"Average",IF(G86&lt;=8,"Good","Excellent")))</f>
        <v>Good</v>
      </c>
      <c r="P86" s="8" t="str">
        <f aca="false">IF(H86&lt;=5,"Low Frequency",IF(H86&lt;=10,"Moderate",IF(H86&lt;=15,"High","Very High")))</f>
        <v>Low Frequency</v>
      </c>
      <c r="Q86" s="8" t="str">
        <f aca="false">IF(K86&gt;=90,"Highly Satisfied",IF(K86&gt;=75,"Satisfied",IF(K86&gt;=60,"Neutral","Dissatisfied")))</f>
        <v>Highly Satisfied</v>
      </c>
      <c r="R86" s="8" t="str">
        <f aca="false">UPPER(LEFT(TRIM(J86),1))&amp;LOWER(MID(TRIM(J86),2,100))</f>
        <v>Gold</v>
      </c>
      <c r="S86" s="8" t="str">
        <f aca="false">IF(I86="High","Positive",IF(I86="Medium","Neutral","Negative"))</f>
        <v>Negative</v>
      </c>
      <c r="T86" s="8" t="str">
        <f aca="false">IF(AND(E86&gt;=80000,H86&gt;=15),"Premium",IF(AND(E86&gt;=50000,H86&gt;=10),"Standard","Basic"))</f>
        <v>Basic</v>
      </c>
      <c r="U86" s="8" t="str">
        <f aca="false">IF(AND(F86&gt;=7,G86&gt;=7),"High Quality Experience","Review Needed")</f>
        <v>High Quality Experience</v>
      </c>
      <c r="V86" s="8" t="str">
        <f aca="false">IF(H86&gt;=10,"Repeat Buyer","Occasional Buyer")</f>
        <v>Occasional Buyer</v>
      </c>
      <c r="W86" s="8" t="str">
        <f aca="false">IF(AND(K86&lt;70,I86="Low"),"At Risk","Stable")</f>
        <v>Stable</v>
      </c>
      <c r="X86" s="8" t="str">
        <f aca="false">IF(AND(K86&lt;75,I86="Low",J86="Bronze"),"Priority Followup","No Action")</f>
        <v>No Action</v>
      </c>
    </row>
    <row r="87" customFormat="false" ht="15" hidden="false" customHeight="false" outlineLevel="0" collapsed="false">
      <c r="A87" s="3" t="n">
        <v>85</v>
      </c>
      <c r="B87" s="3" t="n">
        <v>25</v>
      </c>
      <c r="C87" s="3" t="s">
        <v>17</v>
      </c>
      <c r="D87" s="3" t="s">
        <v>18</v>
      </c>
      <c r="E87" s="3" t="n">
        <v>65875</v>
      </c>
      <c r="F87" s="3" t="n">
        <v>6</v>
      </c>
      <c r="G87" s="3" t="n">
        <v>4</v>
      </c>
      <c r="H87" s="3" t="n">
        <v>11</v>
      </c>
      <c r="I87" s="3" t="s">
        <v>13</v>
      </c>
      <c r="J87" s="3" t="s">
        <v>16</v>
      </c>
      <c r="K87" s="3" t="n">
        <v>84.12</v>
      </c>
      <c r="L87" s="7" t="str">
        <f aca="false">IF(B87&lt;25,"Gen Z",IF(B87&lt;40,"Millennial",IF(B87&lt;55,"Gen X","Baby Boomer")))</f>
        <v>Millennial</v>
      </c>
      <c r="M87" s="7" t="str">
        <f aca="false">IF(E87&lt;50000,"Low Income",IF(E87&lt;80000,"Middle Income",IF(E87&lt;100000,"Upper Middle","High Income")))</f>
        <v>Middle Income</v>
      </c>
      <c r="N87" s="7" t="str">
        <f aca="false">IF(F87&lt;=3,"Poor",IF(F87&lt;=6,"Average",IF(F87&lt;=8,"Good","Excellent")))</f>
        <v>Average</v>
      </c>
      <c r="O87" s="7" t="str">
        <f aca="false">IF(G87&lt;=3,"Poor",IF(G87&lt;=6,"Average",IF(G87&lt;=8,"Good","Excellent")))</f>
        <v>Average</v>
      </c>
      <c r="P87" s="7" t="str">
        <f aca="false">IF(H87&lt;=5,"Low Frequency",IF(H87&lt;=10,"Moderate",IF(H87&lt;=15,"High","Very High")))</f>
        <v>High</v>
      </c>
      <c r="Q87" s="7" t="str">
        <f aca="false">IF(K87&gt;=90,"Highly Satisfied",IF(K87&gt;=75,"Satisfied",IF(K87&gt;=60,"Neutral","Dissatisfied")))</f>
        <v>Satisfied</v>
      </c>
      <c r="R87" s="7" t="str">
        <f aca="false">UPPER(LEFT(TRIM(J87),1))&amp;LOWER(MID(TRIM(J87),2,100))</f>
        <v>Gold</v>
      </c>
      <c r="S87" s="7" t="str">
        <f aca="false">IF(I87="High","Positive",IF(I87="Medium","Neutral","Negative"))</f>
        <v>Negative</v>
      </c>
      <c r="T87" s="7" t="str">
        <f aca="false">IF(AND(E87&gt;=80000,H87&gt;=15),"Premium",IF(AND(E87&gt;=50000,H87&gt;=10),"Standard","Basic"))</f>
        <v>Standard</v>
      </c>
      <c r="U87" s="7" t="str">
        <f aca="false">IF(AND(F87&gt;=7,G87&gt;=7),"High Quality Experience","Review Needed")</f>
        <v>Review Needed</v>
      </c>
      <c r="V87" s="7" t="str">
        <f aca="false">IF(H87&gt;=10,"Repeat Buyer","Occasional Buyer")</f>
        <v>Repeat Buyer</v>
      </c>
      <c r="W87" s="7" t="str">
        <f aca="false">IF(AND(K87&lt;70,I87="Low"),"At Risk","Stable")</f>
        <v>Stable</v>
      </c>
      <c r="X87" s="7" t="str">
        <f aca="false">IF(AND(K87&lt;75,I87="Low",J87="Bronze"),"Priority Followup","No Action")</f>
        <v>No Action</v>
      </c>
    </row>
    <row r="88" customFormat="false" ht="15" hidden="false" customHeight="false" outlineLevel="0" collapsed="false">
      <c r="A88" s="2" t="n">
        <v>86</v>
      </c>
      <c r="B88" s="2" t="n">
        <v>31</v>
      </c>
      <c r="C88" s="2" t="s">
        <v>17</v>
      </c>
      <c r="D88" s="2" t="s">
        <v>23</v>
      </c>
      <c r="E88" s="2" t="n">
        <v>118933</v>
      </c>
      <c r="F88" s="2" t="n">
        <v>3</v>
      </c>
      <c r="G88" s="2" t="n">
        <v>1</v>
      </c>
      <c r="H88" s="2" t="n">
        <v>17</v>
      </c>
      <c r="I88" s="2" t="s">
        <v>13</v>
      </c>
      <c r="J88" s="2" t="s">
        <v>14</v>
      </c>
      <c r="K88" s="2" t="n">
        <v>51.57</v>
      </c>
      <c r="L88" s="8" t="str">
        <f aca="false">IF(B88&lt;25,"Gen Z",IF(B88&lt;40,"Millennial",IF(B88&lt;55,"Gen X","Baby Boomer")))</f>
        <v>Millennial</v>
      </c>
      <c r="M88" s="8" t="str">
        <f aca="false">IF(E88&lt;50000,"Low Income",IF(E88&lt;80000,"Middle Income",IF(E88&lt;100000,"Upper Middle","High Income")))</f>
        <v>High Income</v>
      </c>
      <c r="N88" s="8" t="str">
        <f aca="false">IF(F88&lt;=3,"Poor",IF(F88&lt;=6,"Average",IF(F88&lt;=8,"Good","Excellent")))</f>
        <v>Poor</v>
      </c>
      <c r="O88" s="8" t="str">
        <f aca="false">IF(G88&lt;=3,"Poor",IF(G88&lt;=6,"Average",IF(G88&lt;=8,"Good","Excellent")))</f>
        <v>Poor</v>
      </c>
      <c r="P88" s="8" t="str">
        <f aca="false">IF(H88&lt;=5,"Low Frequency",IF(H88&lt;=10,"Moderate",IF(H88&lt;=15,"High","Very High")))</f>
        <v>Very High</v>
      </c>
      <c r="Q88" s="8" t="str">
        <f aca="false">IF(K88&gt;=90,"Highly Satisfied",IF(K88&gt;=75,"Satisfied",IF(K88&gt;=60,"Neutral","Dissatisfied")))</f>
        <v>Dissatisfied</v>
      </c>
      <c r="R88" s="8" t="str">
        <f aca="false">UPPER(LEFT(TRIM(J88),1))&amp;LOWER(MID(TRIM(J88),2,100))</f>
        <v>Bronze</v>
      </c>
      <c r="S88" s="8" t="str">
        <f aca="false">IF(I88="High","Positive",IF(I88="Medium","Neutral","Negative"))</f>
        <v>Negative</v>
      </c>
      <c r="T88" s="8" t="str">
        <f aca="false">IF(AND(E88&gt;=80000,H88&gt;=15),"Premium",IF(AND(E88&gt;=50000,H88&gt;=10),"Standard","Basic"))</f>
        <v>Premium</v>
      </c>
      <c r="U88" s="8" t="str">
        <f aca="false">IF(AND(F88&gt;=7,G88&gt;=7),"High Quality Experience","Review Needed")</f>
        <v>Review Needed</v>
      </c>
      <c r="V88" s="8" t="str">
        <f aca="false">IF(H88&gt;=10,"Repeat Buyer","Occasional Buyer")</f>
        <v>Repeat Buyer</v>
      </c>
      <c r="W88" s="8" t="str">
        <f aca="false">IF(AND(K88&lt;70,I88="Low"),"At Risk","Stable")</f>
        <v>At Risk</v>
      </c>
      <c r="X88" s="8" t="str">
        <f aca="false">IF(AND(K88&lt;75,I88="Low",J88="Bronze"),"Priority Followup","No Action")</f>
        <v>Priority Followup</v>
      </c>
    </row>
    <row r="89" customFormat="false" ht="15" hidden="false" customHeight="false" outlineLevel="0" collapsed="false">
      <c r="A89" s="3" t="n">
        <v>87</v>
      </c>
      <c r="B89" s="3" t="n">
        <v>40</v>
      </c>
      <c r="C89" s="3" t="s">
        <v>11</v>
      </c>
      <c r="D89" s="3" t="s">
        <v>23</v>
      </c>
      <c r="E89" s="3" t="n">
        <v>115896</v>
      </c>
      <c r="F89" s="3" t="n">
        <v>5</v>
      </c>
      <c r="G89" s="3" t="n">
        <v>4</v>
      </c>
      <c r="H89" s="3" t="n">
        <v>9</v>
      </c>
      <c r="I89" s="3" t="s">
        <v>15</v>
      </c>
      <c r="J89" s="3" t="s">
        <v>19</v>
      </c>
      <c r="K89" s="3" t="n">
        <v>79.53</v>
      </c>
      <c r="L89" s="7" t="str">
        <f aca="false">IF(B89&lt;25,"Gen Z",IF(B89&lt;40,"Millennial",IF(B89&lt;55,"Gen X","Baby Boomer")))</f>
        <v>Gen X</v>
      </c>
      <c r="M89" s="7" t="str">
        <f aca="false">IF(E89&lt;50000,"Low Income",IF(E89&lt;80000,"Middle Income",IF(E89&lt;100000,"Upper Middle","High Income")))</f>
        <v>High Income</v>
      </c>
      <c r="N89" s="7" t="str">
        <f aca="false">IF(F89&lt;=3,"Poor",IF(F89&lt;=6,"Average",IF(F89&lt;=8,"Good","Excellent")))</f>
        <v>Average</v>
      </c>
      <c r="O89" s="7" t="str">
        <f aca="false">IF(G89&lt;=3,"Poor",IF(G89&lt;=6,"Average",IF(G89&lt;=8,"Good","Excellent")))</f>
        <v>Average</v>
      </c>
      <c r="P89" s="7" t="str">
        <f aca="false">IF(H89&lt;=5,"Low Frequency",IF(H89&lt;=10,"Moderate",IF(H89&lt;=15,"High","Very High")))</f>
        <v>Moderate</v>
      </c>
      <c r="Q89" s="7" t="str">
        <f aca="false">IF(K89&gt;=90,"Highly Satisfied",IF(K89&gt;=75,"Satisfied",IF(K89&gt;=60,"Neutral","Dissatisfied")))</f>
        <v>Satisfied</v>
      </c>
      <c r="R89" s="7" t="str">
        <f aca="false">UPPER(LEFT(TRIM(J89),1))&amp;LOWER(MID(TRIM(J89),2,100))</f>
        <v>Silver</v>
      </c>
      <c r="S89" s="7" t="str">
        <f aca="false">IF(I89="High","Positive",IF(I89="Medium","Neutral","Negative"))</f>
        <v>Neutral</v>
      </c>
      <c r="T89" s="7" t="str">
        <f aca="false">IF(AND(E89&gt;=80000,H89&gt;=15),"Premium",IF(AND(E89&gt;=50000,H89&gt;=10),"Standard","Basic"))</f>
        <v>Basic</v>
      </c>
      <c r="U89" s="7" t="str">
        <f aca="false">IF(AND(F89&gt;=7,G89&gt;=7),"High Quality Experience","Review Needed")</f>
        <v>Review Needed</v>
      </c>
      <c r="V89" s="7" t="str">
        <f aca="false">IF(H89&gt;=10,"Repeat Buyer","Occasional Buyer")</f>
        <v>Occasional Buyer</v>
      </c>
      <c r="W89" s="7" t="str">
        <f aca="false">IF(AND(K89&lt;70,I89="Low"),"At Risk","Stable")</f>
        <v>Stable</v>
      </c>
      <c r="X89" s="7" t="str">
        <f aca="false">IF(AND(K89&lt;75,I89="Low",J89="Bronze"),"Priority Followup","No Action")</f>
        <v>No Action</v>
      </c>
    </row>
    <row r="90" customFormat="false" ht="15" hidden="false" customHeight="false" outlineLevel="0" collapsed="false">
      <c r="A90" s="2" t="n">
        <v>88</v>
      </c>
      <c r="B90" s="2" t="n">
        <v>57</v>
      </c>
      <c r="C90" s="2" t="s">
        <v>17</v>
      </c>
      <c r="D90" s="2" t="s">
        <v>23</v>
      </c>
      <c r="E90" s="2" t="n">
        <v>98973</v>
      </c>
      <c r="F90" s="2" t="n">
        <v>9</v>
      </c>
      <c r="G90" s="2" t="n">
        <v>10</v>
      </c>
      <c r="H90" s="2" t="n">
        <v>15</v>
      </c>
      <c r="I90" s="2" t="s">
        <v>15</v>
      </c>
      <c r="J90" s="2" t="s">
        <v>19</v>
      </c>
      <c r="K90" s="2" t="n">
        <v>100</v>
      </c>
      <c r="L90" s="8" t="str">
        <f aca="false">IF(B90&lt;25,"Gen Z",IF(B90&lt;40,"Millennial",IF(B90&lt;55,"Gen X","Baby Boomer")))</f>
        <v>Baby Boomer</v>
      </c>
      <c r="M90" s="8" t="str">
        <f aca="false">IF(E90&lt;50000,"Low Income",IF(E90&lt;80000,"Middle Income",IF(E90&lt;100000,"Upper Middle","High Income")))</f>
        <v>Upper Middle</v>
      </c>
      <c r="N90" s="8" t="str">
        <f aca="false">IF(F90&lt;=3,"Poor",IF(F90&lt;=6,"Average",IF(F90&lt;=8,"Good","Excellent")))</f>
        <v>Excellent</v>
      </c>
      <c r="O90" s="8" t="str">
        <f aca="false">IF(G90&lt;=3,"Poor",IF(G90&lt;=6,"Average",IF(G90&lt;=8,"Good","Excellent")))</f>
        <v>Excellent</v>
      </c>
      <c r="P90" s="8" t="str">
        <f aca="false">IF(H90&lt;=5,"Low Frequency",IF(H90&lt;=10,"Moderate",IF(H90&lt;=15,"High","Very High")))</f>
        <v>High</v>
      </c>
      <c r="Q90" s="8" t="str">
        <f aca="false">IF(K90&gt;=90,"Highly Satisfied",IF(K90&gt;=75,"Satisfied",IF(K90&gt;=60,"Neutral","Dissatisfied")))</f>
        <v>Highly Satisfied</v>
      </c>
      <c r="R90" s="8" t="str">
        <f aca="false">UPPER(LEFT(TRIM(J90),1))&amp;LOWER(MID(TRIM(J90),2,100))</f>
        <v>Silver</v>
      </c>
      <c r="S90" s="8" t="str">
        <f aca="false">IF(I90="High","Positive",IF(I90="Medium","Neutral","Negative"))</f>
        <v>Neutral</v>
      </c>
      <c r="T90" s="8" t="str">
        <f aca="false">IF(AND(E90&gt;=80000,H90&gt;=15),"Premium",IF(AND(E90&gt;=50000,H90&gt;=10),"Standard","Basic"))</f>
        <v>Premium</v>
      </c>
      <c r="U90" s="8" t="str">
        <f aca="false">IF(AND(F90&gt;=7,G90&gt;=7),"High Quality Experience","Review Needed")</f>
        <v>High Quality Experience</v>
      </c>
      <c r="V90" s="8" t="str">
        <f aca="false">IF(H90&gt;=10,"Repeat Buyer","Occasional Buyer")</f>
        <v>Repeat Buyer</v>
      </c>
      <c r="W90" s="8" t="str">
        <f aca="false">IF(AND(K90&lt;70,I90="Low"),"At Risk","Stable")</f>
        <v>Stable</v>
      </c>
      <c r="X90" s="8" t="str">
        <f aca="false">IF(AND(K90&lt;75,I90="Low",J90="Bronze"),"Priority Followup","No Action")</f>
        <v>No Action</v>
      </c>
    </row>
    <row r="91" customFormat="false" ht="15" hidden="false" customHeight="false" outlineLevel="0" collapsed="false">
      <c r="A91" s="3" t="n">
        <v>89</v>
      </c>
      <c r="B91" s="3" t="n">
        <v>38</v>
      </c>
      <c r="C91" s="3" t="s">
        <v>17</v>
      </c>
      <c r="D91" s="3" t="s">
        <v>18</v>
      </c>
      <c r="E91" s="3" t="n">
        <v>44838</v>
      </c>
      <c r="F91" s="3" t="n">
        <v>1</v>
      </c>
      <c r="G91" s="3" t="n">
        <v>7</v>
      </c>
      <c r="H91" s="3" t="n">
        <v>16</v>
      </c>
      <c r="I91" s="3" t="s">
        <v>21</v>
      </c>
      <c r="J91" s="3" t="s">
        <v>14</v>
      </c>
      <c r="K91" s="3" t="n">
        <v>84.79</v>
      </c>
      <c r="L91" s="7" t="str">
        <f aca="false">IF(B91&lt;25,"Gen Z",IF(B91&lt;40,"Millennial",IF(B91&lt;55,"Gen X","Baby Boomer")))</f>
        <v>Millennial</v>
      </c>
      <c r="M91" s="7" t="str">
        <f aca="false">IF(E91&lt;50000,"Low Income",IF(E91&lt;80000,"Middle Income",IF(E91&lt;100000,"Upper Middle","High Income")))</f>
        <v>Low Income</v>
      </c>
      <c r="N91" s="7" t="str">
        <f aca="false">IF(F91&lt;=3,"Poor",IF(F91&lt;=6,"Average",IF(F91&lt;=8,"Good","Excellent")))</f>
        <v>Poor</v>
      </c>
      <c r="O91" s="7" t="str">
        <f aca="false">IF(G91&lt;=3,"Poor",IF(G91&lt;=6,"Average",IF(G91&lt;=8,"Good","Excellent")))</f>
        <v>Good</v>
      </c>
      <c r="P91" s="7" t="str">
        <f aca="false">IF(H91&lt;=5,"Low Frequency",IF(H91&lt;=10,"Moderate",IF(H91&lt;=15,"High","Very High")))</f>
        <v>Very High</v>
      </c>
      <c r="Q91" s="7" t="str">
        <f aca="false">IF(K91&gt;=90,"Highly Satisfied",IF(K91&gt;=75,"Satisfied",IF(K91&gt;=60,"Neutral","Dissatisfied")))</f>
        <v>Satisfied</v>
      </c>
      <c r="R91" s="7" t="str">
        <f aca="false">UPPER(LEFT(TRIM(J91),1))&amp;LOWER(MID(TRIM(J91),2,100))</f>
        <v>Bronze</v>
      </c>
      <c r="S91" s="7" t="str">
        <f aca="false">IF(I91="High","Positive",IF(I91="Medium","Neutral","Negative"))</f>
        <v>Positive</v>
      </c>
      <c r="T91" s="7" t="str">
        <f aca="false">IF(AND(E91&gt;=80000,H91&gt;=15),"Premium",IF(AND(E91&gt;=50000,H91&gt;=10),"Standard","Basic"))</f>
        <v>Basic</v>
      </c>
      <c r="U91" s="7" t="str">
        <f aca="false">IF(AND(F91&gt;=7,G91&gt;=7),"High Quality Experience","Review Needed")</f>
        <v>Review Needed</v>
      </c>
      <c r="V91" s="7" t="str">
        <f aca="false">IF(H91&gt;=10,"Repeat Buyer","Occasional Buyer")</f>
        <v>Repeat Buyer</v>
      </c>
      <c r="W91" s="7" t="str">
        <f aca="false">IF(AND(K91&lt;70,I91="Low"),"At Risk","Stable")</f>
        <v>Stable</v>
      </c>
      <c r="X91" s="7" t="str">
        <f aca="false">IF(AND(K91&lt;75,I91="Low",J91="Bronze"),"Priority Followup","No Action")</f>
        <v>No Action</v>
      </c>
    </row>
    <row r="92" customFormat="false" ht="15" hidden="false" customHeight="false" outlineLevel="0" collapsed="false">
      <c r="A92" s="2" t="n">
        <v>90</v>
      </c>
      <c r="B92" s="2" t="n">
        <v>33</v>
      </c>
      <c r="C92" s="2" t="s">
        <v>17</v>
      </c>
      <c r="D92" s="2" t="s">
        <v>18</v>
      </c>
      <c r="E92" s="2" t="n">
        <v>108700</v>
      </c>
      <c r="F92" s="2" t="n">
        <v>10</v>
      </c>
      <c r="G92" s="2" t="n">
        <v>3</v>
      </c>
      <c r="H92" s="2" t="n">
        <v>1</v>
      </c>
      <c r="I92" s="2" t="s">
        <v>15</v>
      </c>
      <c r="J92" s="2" t="s">
        <v>19</v>
      </c>
      <c r="K92" s="2" t="n">
        <v>100</v>
      </c>
      <c r="L92" s="8" t="str">
        <f aca="false">IF(B92&lt;25,"Gen Z",IF(B92&lt;40,"Millennial",IF(B92&lt;55,"Gen X","Baby Boomer")))</f>
        <v>Millennial</v>
      </c>
      <c r="M92" s="8" t="str">
        <f aca="false">IF(E92&lt;50000,"Low Income",IF(E92&lt;80000,"Middle Income",IF(E92&lt;100000,"Upper Middle","High Income")))</f>
        <v>High Income</v>
      </c>
      <c r="N92" s="8" t="str">
        <f aca="false">IF(F92&lt;=3,"Poor",IF(F92&lt;=6,"Average",IF(F92&lt;=8,"Good","Excellent")))</f>
        <v>Excellent</v>
      </c>
      <c r="O92" s="8" t="str">
        <f aca="false">IF(G92&lt;=3,"Poor",IF(G92&lt;=6,"Average",IF(G92&lt;=8,"Good","Excellent")))</f>
        <v>Poor</v>
      </c>
      <c r="P92" s="8" t="str">
        <f aca="false">IF(H92&lt;=5,"Low Frequency",IF(H92&lt;=10,"Moderate",IF(H92&lt;=15,"High","Very High")))</f>
        <v>Low Frequency</v>
      </c>
      <c r="Q92" s="8" t="str">
        <f aca="false">IF(K92&gt;=90,"Highly Satisfied",IF(K92&gt;=75,"Satisfied",IF(K92&gt;=60,"Neutral","Dissatisfied")))</f>
        <v>Highly Satisfied</v>
      </c>
      <c r="R92" s="8" t="str">
        <f aca="false">UPPER(LEFT(TRIM(J92),1))&amp;LOWER(MID(TRIM(J92),2,100))</f>
        <v>Silver</v>
      </c>
      <c r="S92" s="8" t="str">
        <f aca="false">IF(I92="High","Positive",IF(I92="Medium","Neutral","Negative"))</f>
        <v>Neutral</v>
      </c>
      <c r="T92" s="8" t="str">
        <f aca="false">IF(AND(E92&gt;=80000,H92&gt;=15),"Premium",IF(AND(E92&gt;=50000,H92&gt;=10),"Standard","Basic"))</f>
        <v>Basic</v>
      </c>
      <c r="U92" s="8" t="str">
        <f aca="false">IF(AND(F92&gt;=7,G92&gt;=7),"High Quality Experience","Review Needed")</f>
        <v>Review Needed</v>
      </c>
      <c r="V92" s="8" t="str">
        <f aca="false">IF(H92&gt;=10,"Repeat Buyer","Occasional Buyer")</f>
        <v>Occasional Buyer</v>
      </c>
      <c r="W92" s="8" t="str">
        <f aca="false">IF(AND(K92&lt;70,I92="Low"),"At Risk","Stable")</f>
        <v>Stable</v>
      </c>
      <c r="X92" s="8" t="str">
        <f aca="false">IF(AND(K92&lt;75,I92="Low",J92="Bronze"),"Priority Followup","No Action")</f>
        <v>No Action</v>
      </c>
    </row>
    <row r="93" customFormat="false" ht="15" hidden="false" customHeight="false" outlineLevel="0" collapsed="false">
      <c r="A93" s="3" t="n">
        <v>91</v>
      </c>
      <c r="B93" s="3" t="n">
        <v>62</v>
      </c>
      <c r="C93" s="3" t="s">
        <v>11</v>
      </c>
      <c r="D93" s="3" t="s">
        <v>23</v>
      </c>
      <c r="E93" s="3" t="n">
        <v>69885</v>
      </c>
      <c r="F93" s="3" t="n">
        <v>1</v>
      </c>
      <c r="G93" s="3" t="n">
        <v>6</v>
      </c>
      <c r="H93" s="3" t="n">
        <v>14</v>
      </c>
      <c r="I93" s="3" t="s">
        <v>15</v>
      </c>
      <c r="J93" s="3" t="s">
        <v>16</v>
      </c>
      <c r="K93" s="3" t="n">
        <v>71.42</v>
      </c>
      <c r="L93" s="7" t="str">
        <f aca="false">IF(B93&lt;25,"Gen Z",IF(B93&lt;40,"Millennial",IF(B93&lt;55,"Gen X","Baby Boomer")))</f>
        <v>Baby Boomer</v>
      </c>
      <c r="M93" s="7" t="str">
        <f aca="false">IF(E93&lt;50000,"Low Income",IF(E93&lt;80000,"Middle Income",IF(E93&lt;100000,"Upper Middle","High Income")))</f>
        <v>Middle Income</v>
      </c>
      <c r="N93" s="7" t="str">
        <f aca="false">IF(F93&lt;=3,"Poor",IF(F93&lt;=6,"Average",IF(F93&lt;=8,"Good","Excellent")))</f>
        <v>Poor</v>
      </c>
      <c r="O93" s="7" t="str">
        <f aca="false">IF(G93&lt;=3,"Poor",IF(G93&lt;=6,"Average",IF(G93&lt;=8,"Good","Excellent")))</f>
        <v>Average</v>
      </c>
      <c r="P93" s="7" t="str">
        <f aca="false">IF(H93&lt;=5,"Low Frequency",IF(H93&lt;=10,"Moderate",IF(H93&lt;=15,"High","Very High")))</f>
        <v>High</v>
      </c>
      <c r="Q93" s="7" t="str">
        <f aca="false">IF(K93&gt;=90,"Highly Satisfied",IF(K93&gt;=75,"Satisfied",IF(K93&gt;=60,"Neutral","Dissatisfied")))</f>
        <v>Neutral</v>
      </c>
      <c r="R93" s="7" t="str">
        <f aca="false">UPPER(LEFT(TRIM(J93),1))&amp;LOWER(MID(TRIM(J93),2,100))</f>
        <v>Gold</v>
      </c>
      <c r="S93" s="7" t="str">
        <f aca="false">IF(I93="High","Positive",IF(I93="Medium","Neutral","Negative"))</f>
        <v>Neutral</v>
      </c>
      <c r="T93" s="7" t="str">
        <f aca="false">IF(AND(E93&gt;=80000,H93&gt;=15),"Premium",IF(AND(E93&gt;=50000,H93&gt;=10),"Standard","Basic"))</f>
        <v>Standard</v>
      </c>
      <c r="U93" s="7" t="str">
        <f aca="false">IF(AND(F93&gt;=7,G93&gt;=7),"High Quality Experience","Review Needed")</f>
        <v>Review Needed</v>
      </c>
      <c r="V93" s="7" t="str">
        <f aca="false">IF(H93&gt;=10,"Repeat Buyer","Occasional Buyer")</f>
        <v>Repeat Buyer</v>
      </c>
      <c r="W93" s="7" t="str">
        <f aca="false">IF(AND(K93&lt;70,I93="Low"),"At Risk","Stable")</f>
        <v>Stable</v>
      </c>
      <c r="X93" s="7" t="str">
        <f aca="false">IF(AND(K93&lt;75,I93="Low",J93="Bronze"),"Priority Followup","No Action")</f>
        <v>No Action</v>
      </c>
    </row>
    <row r="94" customFormat="false" ht="15" hidden="false" customHeight="false" outlineLevel="0" collapsed="false">
      <c r="A94" s="2" t="n">
        <v>92</v>
      </c>
      <c r="B94" s="2" t="n">
        <v>35</v>
      </c>
      <c r="C94" s="2" t="s">
        <v>11</v>
      </c>
      <c r="D94" s="2" t="s">
        <v>23</v>
      </c>
      <c r="E94" s="2" t="n">
        <v>71049</v>
      </c>
      <c r="F94" s="2" t="n">
        <v>10</v>
      </c>
      <c r="G94" s="2" t="n">
        <v>2</v>
      </c>
      <c r="H94" s="2" t="n">
        <v>7</v>
      </c>
      <c r="I94" s="2" t="s">
        <v>21</v>
      </c>
      <c r="J94" s="2" t="s">
        <v>19</v>
      </c>
      <c r="K94" s="2" t="n">
        <v>77.42</v>
      </c>
      <c r="L94" s="8" t="str">
        <f aca="false">IF(B94&lt;25,"Gen Z",IF(B94&lt;40,"Millennial",IF(B94&lt;55,"Gen X","Baby Boomer")))</f>
        <v>Millennial</v>
      </c>
      <c r="M94" s="8" t="str">
        <f aca="false">IF(E94&lt;50000,"Low Income",IF(E94&lt;80000,"Middle Income",IF(E94&lt;100000,"Upper Middle","High Income")))</f>
        <v>Middle Income</v>
      </c>
      <c r="N94" s="8" t="str">
        <f aca="false">IF(F94&lt;=3,"Poor",IF(F94&lt;=6,"Average",IF(F94&lt;=8,"Good","Excellent")))</f>
        <v>Excellent</v>
      </c>
      <c r="O94" s="8" t="str">
        <f aca="false">IF(G94&lt;=3,"Poor",IF(G94&lt;=6,"Average",IF(G94&lt;=8,"Good","Excellent")))</f>
        <v>Poor</v>
      </c>
      <c r="P94" s="8" t="str">
        <f aca="false">IF(H94&lt;=5,"Low Frequency",IF(H94&lt;=10,"Moderate",IF(H94&lt;=15,"High","Very High")))</f>
        <v>Moderate</v>
      </c>
      <c r="Q94" s="8" t="str">
        <f aca="false">IF(K94&gt;=90,"Highly Satisfied",IF(K94&gt;=75,"Satisfied",IF(K94&gt;=60,"Neutral","Dissatisfied")))</f>
        <v>Satisfied</v>
      </c>
      <c r="R94" s="8" t="str">
        <f aca="false">UPPER(LEFT(TRIM(J94),1))&amp;LOWER(MID(TRIM(J94),2,100))</f>
        <v>Silver</v>
      </c>
      <c r="S94" s="8" t="str">
        <f aca="false">IF(I94="High","Positive",IF(I94="Medium","Neutral","Negative"))</f>
        <v>Positive</v>
      </c>
      <c r="T94" s="8" t="str">
        <f aca="false">IF(AND(E94&gt;=80000,H94&gt;=15),"Premium",IF(AND(E94&gt;=50000,H94&gt;=10),"Standard","Basic"))</f>
        <v>Basic</v>
      </c>
      <c r="U94" s="8" t="str">
        <f aca="false">IF(AND(F94&gt;=7,G94&gt;=7),"High Quality Experience","Review Needed")</f>
        <v>Review Needed</v>
      </c>
      <c r="V94" s="8" t="str">
        <f aca="false">IF(H94&gt;=10,"Repeat Buyer","Occasional Buyer")</f>
        <v>Occasional Buyer</v>
      </c>
      <c r="W94" s="8" t="str">
        <f aca="false">IF(AND(K94&lt;70,I94="Low"),"At Risk","Stable")</f>
        <v>Stable</v>
      </c>
      <c r="X94" s="8" t="str">
        <f aca="false">IF(AND(K94&lt;75,I94="Low",J94="Bronze"),"Priority Followup","No Action")</f>
        <v>No Action</v>
      </c>
    </row>
    <row r="95" customFormat="false" ht="15" hidden="false" customHeight="false" outlineLevel="0" collapsed="false">
      <c r="A95" s="3" t="n">
        <v>93</v>
      </c>
      <c r="B95" s="3" t="n">
        <v>64</v>
      </c>
      <c r="C95" s="3" t="s">
        <v>11</v>
      </c>
      <c r="D95" s="3" t="s">
        <v>23</v>
      </c>
      <c r="E95" s="3" t="n">
        <v>56243</v>
      </c>
      <c r="F95" s="3" t="n">
        <v>4</v>
      </c>
      <c r="G95" s="3" t="n">
        <v>10</v>
      </c>
      <c r="H95" s="3" t="n">
        <v>6</v>
      </c>
      <c r="I95" s="3" t="s">
        <v>15</v>
      </c>
      <c r="J95" s="3" t="s">
        <v>16</v>
      </c>
      <c r="K95" s="3" t="n">
        <v>100</v>
      </c>
      <c r="L95" s="7" t="str">
        <f aca="false">IF(B95&lt;25,"Gen Z",IF(B95&lt;40,"Millennial",IF(B95&lt;55,"Gen X","Baby Boomer")))</f>
        <v>Baby Boomer</v>
      </c>
      <c r="M95" s="7" t="str">
        <f aca="false">IF(E95&lt;50000,"Low Income",IF(E95&lt;80000,"Middle Income",IF(E95&lt;100000,"Upper Middle","High Income")))</f>
        <v>Middle Income</v>
      </c>
      <c r="N95" s="7" t="str">
        <f aca="false">IF(F95&lt;=3,"Poor",IF(F95&lt;=6,"Average",IF(F95&lt;=8,"Good","Excellent")))</f>
        <v>Average</v>
      </c>
      <c r="O95" s="7" t="str">
        <f aca="false">IF(G95&lt;=3,"Poor",IF(G95&lt;=6,"Average",IF(G95&lt;=8,"Good","Excellent")))</f>
        <v>Excellent</v>
      </c>
      <c r="P95" s="7" t="str">
        <f aca="false">IF(H95&lt;=5,"Low Frequency",IF(H95&lt;=10,"Moderate",IF(H95&lt;=15,"High","Very High")))</f>
        <v>Moderate</v>
      </c>
      <c r="Q95" s="7" t="str">
        <f aca="false">IF(K95&gt;=90,"Highly Satisfied",IF(K95&gt;=75,"Satisfied",IF(K95&gt;=60,"Neutral","Dissatisfied")))</f>
        <v>Highly Satisfied</v>
      </c>
      <c r="R95" s="7" t="str">
        <f aca="false">UPPER(LEFT(TRIM(J95),1))&amp;LOWER(MID(TRIM(J95),2,100))</f>
        <v>Gold</v>
      </c>
      <c r="S95" s="7" t="str">
        <f aca="false">IF(I95="High","Positive",IF(I95="Medium","Neutral","Negative"))</f>
        <v>Neutral</v>
      </c>
      <c r="T95" s="7" t="str">
        <f aca="false">IF(AND(E95&gt;=80000,H95&gt;=15),"Premium",IF(AND(E95&gt;=50000,H95&gt;=10),"Standard","Basic"))</f>
        <v>Basic</v>
      </c>
      <c r="U95" s="7" t="str">
        <f aca="false">IF(AND(F95&gt;=7,G95&gt;=7),"High Quality Experience","Review Needed")</f>
        <v>Review Needed</v>
      </c>
      <c r="V95" s="7" t="str">
        <f aca="false">IF(H95&gt;=10,"Repeat Buyer","Occasional Buyer")</f>
        <v>Occasional Buyer</v>
      </c>
      <c r="W95" s="7" t="str">
        <f aca="false">IF(AND(K95&lt;70,I95="Low"),"At Risk","Stable")</f>
        <v>Stable</v>
      </c>
      <c r="X95" s="7" t="str">
        <f aca="false">IF(AND(K95&lt;75,I95="Low",J95="Bronze"),"Priority Followup","No Action")</f>
        <v>No Action</v>
      </c>
    </row>
    <row r="96" customFormat="false" ht="15" hidden="false" customHeight="false" outlineLevel="0" collapsed="false">
      <c r="A96" s="2" t="n">
        <v>94</v>
      </c>
      <c r="B96" s="2" t="n">
        <v>41</v>
      </c>
      <c r="C96" s="2" t="s">
        <v>17</v>
      </c>
      <c r="D96" s="2" t="s">
        <v>20</v>
      </c>
      <c r="E96" s="2" t="n">
        <v>65122</v>
      </c>
      <c r="F96" s="2" t="n">
        <v>6</v>
      </c>
      <c r="G96" s="2" t="n">
        <v>7</v>
      </c>
      <c r="H96" s="2" t="n">
        <v>18</v>
      </c>
      <c r="I96" s="2" t="s">
        <v>15</v>
      </c>
      <c r="J96" s="2" t="s">
        <v>16</v>
      </c>
      <c r="K96" s="2" t="n">
        <v>82.91</v>
      </c>
      <c r="L96" s="8" t="str">
        <f aca="false">IF(B96&lt;25,"Gen Z",IF(B96&lt;40,"Millennial",IF(B96&lt;55,"Gen X","Baby Boomer")))</f>
        <v>Gen X</v>
      </c>
      <c r="M96" s="8" t="str">
        <f aca="false">IF(E96&lt;50000,"Low Income",IF(E96&lt;80000,"Middle Income",IF(E96&lt;100000,"Upper Middle","High Income")))</f>
        <v>Middle Income</v>
      </c>
      <c r="N96" s="8" t="str">
        <f aca="false">IF(F96&lt;=3,"Poor",IF(F96&lt;=6,"Average",IF(F96&lt;=8,"Good","Excellent")))</f>
        <v>Average</v>
      </c>
      <c r="O96" s="8" t="str">
        <f aca="false">IF(G96&lt;=3,"Poor",IF(G96&lt;=6,"Average",IF(G96&lt;=8,"Good","Excellent")))</f>
        <v>Good</v>
      </c>
      <c r="P96" s="8" t="str">
        <f aca="false">IF(H96&lt;=5,"Low Frequency",IF(H96&lt;=10,"Moderate",IF(H96&lt;=15,"High","Very High")))</f>
        <v>Very High</v>
      </c>
      <c r="Q96" s="8" t="str">
        <f aca="false">IF(K96&gt;=90,"Highly Satisfied",IF(K96&gt;=75,"Satisfied",IF(K96&gt;=60,"Neutral","Dissatisfied")))</f>
        <v>Satisfied</v>
      </c>
      <c r="R96" s="8" t="str">
        <f aca="false">UPPER(LEFT(TRIM(J96),1))&amp;LOWER(MID(TRIM(J96),2,100))</f>
        <v>Gold</v>
      </c>
      <c r="S96" s="8" t="str">
        <f aca="false">IF(I96="High","Positive",IF(I96="Medium","Neutral","Negative"))</f>
        <v>Neutral</v>
      </c>
      <c r="T96" s="8" t="str">
        <f aca="false">IF(AND(E96&gt;=80000,H96&gt;=15),"Premium",IF(AND(E96&gt;=50000,H96&gt;=10),"Standard","Basic"))</f>
        <v>Standard</v>
      </c>
      <c r="U96" s="8" t="str">
        <f aca="false">IF(AND(F96&gt;=7,G96&gt;=7),"High Quality Experience","Review Needed")</f>
        <v>Review Needed</v>
      </c>
      <c r="V96" s="8" t="str">
        <f aca="false">IF(H96&gt;=10,"Repeat Buyer","Occasional Buyer")</f>
        <v>Repeat Buyer</v>
      </c>
      <c r="W96" s="8" t="str">
        <f aca="false">IF(AND(K96&lt;70,I96="Low"),"At Risk","Stable")</f>
        <v>Stable</v>
      </c>
      <c r="X96" s="8" t="str">
        <f aca="false">IF(AND(K96&lt;75,I96="Low",J96="Bronze"),"Priority Followup","No Action")</f>
        <v>No Action</v>
      </c>
    </row>
    <row r="97" customFormat="false" ht="15" hidden="false" customHeight="false" outlineLevel="0" collapsed="false">
      <c r="A97" s="3" t="n">
        <v>95</v>
      </c>
      <c r="B97" s="3" t="n">
        <v>43</v>
      </c>
      <c r="C97" s="3" t="s">
        <v>17</v>
      </c>
      <c r="D97" s="3" t="s">
        <v>18</v>
      </c>
      <c r="E97" s="3" t="n">
        <v>52438</v>
      </c>
      <c r="F97" s="3" t="n">
        <v>3</v>
      </c>
      <c r="G97" s="3" t="n">
        <v>8</v>
      </c>
      <c r="H97" s="3" t="n">
        <v>12</v>
      </c>
      <c r="I97" s="3" t="s">
        <v>13</v>
      </c>
      <c r="J97" s="3" t="s">
        <v>16</v>
      </c>
      <c r="K97" s="3" t="n">
        <v>91.78</v>
      </c>
      <c r="L97" s="7" t="str">
        <f aca="false">IF(B97&lt;25,"Gen Z",IF(B97&lt;40,"Millennial",IF(B97&lt;55,"Gen X","Baby Boomer")))</f>
        <v>Gen X</v>
      </c>
      <c r="M97" s="7" t="str">
        <f aca="false">IF(E97&lt;50000,"Low Income",IF(E97&lt;80000,"Middle Income",IF(E97&lt;100000,"Upper Middle","High Income")))</f>
        <v>Middle Income</v>
      </c>
      <c r="N97" s="7" t="str">
        <f aca="false">IF(F97&lt;=3,"Poor",IF(F97&lt;=6,"Average",IF(F97&lt;=8,"Good","Excellent")))</f>
        <v>Poor</v>
      </c>
      <c r="O97" s="7" t="str">
        <f aca="false">IF(G97&lt;=3,"Poor",IF(G97&lt;=6,"Average",IF(G97&lt;=8,"Good","Excellent")))</f>
        <v>Good</v>
      </c>
      <c r="P97" s="7" t="str">
        <f aca="false">IF(H97&lt;=5,"Low Frequency",IF(H97&lt;=10,"Moderate",IF(H97&lt;=15,"High","Very High")))</f>
        <v>High</v>
      </c>
      <c r="Q97" s="7" t="str">
        <f aca="false">IF(K97&gt;=90,"Highly Satisfied",IF(K97&gt;=75,"Satisfied",IF(K97&gt;=60,"Neutral","Dissatisfied")))</f>
        <v>Highly Satisfied</v>
      </c>
      <c r="R97" s="7" t="str">
        <f aca="false">UPPER(LEFT(TRIM(J97),1))&amp;LOWER(MID(TRIM(J97),2,100))</f>
        <v>Gold</v>
      </c>
      <c r="S97" s="7" t="str">
        <f aca="false">IF(I97="High","Positive",IF(I97="Medium","Neutral","Negative"))</f>
        <v>Negative</v>
      </c>
      <c r="T97" s="7" t="str">
        <f aca="false">IF(AND(E97&gt;=80000,H97&gt;=15),"Premium",IF(AND(E97&gt;=50000,H97&gt;=10),"Standard","Basic"))</f>
        <v>Standard</v>
      </c>
      <c r="U97" s="7" t="str">
        <f aca="false">IF(AND(F97&gt;=7,G97&gt;=7),"High Quality Experience","Review Needed")</f>
        <v>Review Needed</v>
      </c>
      <c r="V97" s="7" t="str">
        <f aca="false">IF(H97&gt;=10,"Repeat Buyer","Occasional Buyer")</f>
        <v>Repeat Buyer</v>
      </c>
      <c r="W97" s="7" t="str">
        <f aca="false">IF(AND(K97&lt;70,I97="Low"),"At Risk","Stable")</f>
        <v>Stable</v>
      </c>
      <c r="X97" s="7" t="str">
        <f aca="false">IF(AND(K97&lt;75,I97="Low",J97="Bronze"),"Priority Followup","No Action")</f>
        <v>No Action</v>
      </c>
    </row>
    <row r="98" customFormat="false" ht="15" hidden="false" customHeight="false" outlineLevel="0" collapsed="false">
      <c r="A98" s="2" t="n">
        <v>96</v>
      </c>
      <c r="B98" s="2" t="n">
        <v>42</v>
      </c>
      <c r="C98" s="2" t="s">
        <v>11</v>
      </c>
      <c r="D98" s="2" t="s">
        <v>23</v>
      </c>
      <c r="E98" s="2" t="n">
        <v>38297</v>
      </c>
      <c r="F98" s="2" t="n">
        <v>3</v>
      </c>
      <c r="G98" s="2" t="n">
        <v>9</v>
      </c>
      <c r="H98" s="2" t="n">
        <v>6</v>
      </c>
      <c r="I98" s="2" t="s">
        <v>21</v>
      </c>
      <c r="J98" s="2" t="s">
        <v>16</v>
      </c>
      <c r="K98" s="2" t="n">
        <v>81.73</v>
      </c>
      <c r="L98" s="8" t="str">
        <f aca="false">IF(B98&lt;25,"Gen Z",IF(B98&lt;40,"Millennial",IF(B98&lt;55,"Gen X","Baby Boomer")))</f>
        <v>Gen X</v>
      </c>
      <c r="M98" s="8" t="str">
        <f aca="false">IF(E98&lt;50000,"Low Income",IF(E98&lt;80000,"Middle Income",IF(E98&lt;100000,"Upper Middle","High Income")))</f>
        <v>Low Income</v>
      </c>
      <c r="N98" s="8" t="str">
        <f aca="false">IF(F98&lt;=3,"Poor",IF(F98&lt;=6,"Average",IF(F98&lt;=8,"Good","Excellent")))</f>
        <v>Poor</v>
      </c>
      <c r="O98" s="8" t="str">
        <f aca="false">IF(G98&lt;=3,"Poor",IF(G98&lt;=6,"Average",IF(G98&lt;=8,"Good","Excellent")))</f>
        <v>Excellent</v>
      </c>
      <c r="P98" s="8" t="str">
        <f aca="false">IF(H98&lt;=5,"Low Frequency",IF(H98&lt;=10,"Moderate",IF(H98&lt;=15,"High","Very High")))</f>
        <v>Moderate</v>
      </c>
      <c r="Q98" s="8" t="str">
        <f aca="false">IF(K98&gt;=90,"Highly Satisfied",IF(K98&gt;=75,"Satisfied",IF(K98&gt;=60,"Neutral","Dissatisfied")))</f>
        <v>Satisfied</v>
      </c>
      <c r="R98" s="8" t="str">
        <f aca="false">UPPER(LEFT(TRIM(J98),1))&amp;LOWER(MID(TRIM(J98),2,100))</f>
        <v>Gold</v>
      </c>
      <c r="S98" s="8" t="str">
        <f aca="false">IF(I98="High","Positive",IF(I98="Medium","Neutral","Negative"))</f>
        <v>Positive</v>
      </c>
      <c r="T98" s="8" t="str">
        <f aca="false">IF(AND(E98&gt;=80000,H98&gt;=15),"Premium",IF(AND(E98&gt;=50000,H98&gt;=10),"Standard","Basic"))</f>
        <v>Basic</v>
      </c>
      <c r="U98" s="8" t="str">
        <f aca="false">IF(AND(F98&gt;=7,G98&gt;=7),"High Quality Experience","Review Needed")</f>
        <v>Review Needed</v>
      </c>
      <c r="V98" s="8" t="str">
        <f aca="false">IF(H98&gt;=10,"Repeat Buyer","Occasional Buyer")</f>
        <v>Occasional Buyer</v>
      </c>
      <c r="W98" s="8" t="str">
        <f aca="false">IF(AND(K98&lt;70,I98="Low"),"At Risk","Stable")</f>
        <v>Stable</v>
      </c>
      <c r="X98" s="8" t="str">
        <f aca="false">IF(AND(K98&lt;75,I98="Low",J98="Bronze"),"Priority Followup","No Action")</f>
        <v>No Action</v>
      </c>
    </row>
    <row r="99" customFormat="false" ht="15" hidden="false" customHeight="false" outlineLevel="0" collapsed="false">
      <c r="A99" s="3" t="n">
        <v>97</v>
      </c>
      <c r="B99" s="3" t="n">
        <v>62</v>
      </c>
      <c r="C99" s="3" t="s">
        <v>17</v>
      </c>
      <c r="D99" s="3" t="s">
        <v>22</v>
      </c>
      <c r="E99" s="3" t="n">
        <v>87011</v>
      </c>
      <c r="F99" s="3" t="n">
        <v>4</v>
      </c>
      <c r="G99" s="3" t="n">
        <v>1</v>
      </c>
      <c r="H99" s="3" t="n">
        <v>10</v>
      </c>
      <c r="I99" s="3" t="s">
        <v>15</v>
      </c>
      <c r="J99" s="3" t="s">
        <v>16</v>
      </c>
      <c r="K99" s="3" t="n">
        <v>83.53</v>
      </c>
      <c r="L99" s="7" t="str">
        <f aca="false">IF(B99&lt;25,"Gen Z",IF(B99&lt;40,"Millennial",IF(B99&lt;55,"Gen X","Baby Boomer")))</f>
        <v>Baby Boomer</v>
      </c>
      <c r="M99" s="7" t="str">
        <f aca="false">IF(E99&lt;50000,"Low Income",IF(E99&lt;80000,"Middle Income",IF(E99&lt;100000,"Upper Middle","High Income")))</f>
        <v>Upper Middle</v>
      </c>
      <c r="N99" s="7" t="str">
        <f aca="false">IF(F99&lt;=3,"Poor",IF(F99&lt;=6,"Average",IF(F99&lt;=8,"Good","Excellent")))</f>
        <v>Average</v>
      </c>
      <c r="O99" s="7" t="str">
        <f aca="false">IF(G99&lt;=3,"Poor",IF(G99&lt;=6,"Average",IF(G99&lt;=8,"Good","Excellent")))</f>
        <v>Poor</v>
      </c>
      <c r="P99" s="7" t="str">
        <f aca="false">IF(H99&lt;=5,"Low Frequency",IF(H99&lt;=10,"Moderate",IF(H99&lt;=15,"High","Very High")))</f>
        <v>Moderate</v>
      </c>
      <c r="Q99" s="7" t="str">
        <f aca="false">IF(K99&gt;=90,"Highly Satisfied",IF(K99&gt;=75,"Satisfied",IF(K99&gt;=60,"Neutral","Dissatisfied")))</f>
        <v>Satisfied</v>
      </c>
      <c r="R99" s="7" t="str">
        <f aca="false">UPPER(LEFT(TRIM(J99),1))&amp;LOWER(MID(TRIM(J99),2,100))</f>
        <v>Gold</v>
      </c>
      <c r="S99" s="7" t="str">
        <f aca="false">IF(I99="High","Positive",IF(I99="Medium","Neutral","Negative"))</f>
        <v>Neutral</v>
      </c>
      <c r="T99" s="7" t="str">
        <f aca="false">IF(AND(E99&gt;=80000,H99&gt;=15),"Premium",IF(AND(E99&gt;=50000,H99&gt;=10),"Standard","Basic"))</f>
        <v>Standard</v>
      </c>
      <c r="U99" s="7" t="str">
        <f aca="false">IF(AND(F99&gt;=7,G99&gt;=7),"High Quality Experience","Review Needed")</f>
        <v>Review Needed</v>
      </c>
      <c r="V99" s="7" t="str">
        <f aca="false">IF(H99&gt;=10,"Repeat Buyer","Occasional Buyer")</f>
        <v>Repeat Buyer</v>
      </c>
      <c r="W99" s="7" t="str">
        <f aca="false">IF(AND(K99&lt;70,I99="Low"),"At Risk","Stable")</f>
        <v>Stable</v>
      </c>
      <c r="X99" s="7" t="str">
        <f aca="false">IF(AND(K99&lt;75,I99="Low",J99="Bronze"),"Priority Followup","No Action")</f>
        <v>No Action</v>
      </c>
    </row>
    <row r="100" customFormat="false" ht="15" hidden="false" customHeight="false" outlineLevel="0" collapsed="false">
      <c r="A100" s="2" t="n">
        <v>98</v>
      </c>
      <c r="B100" s="2" t="n">
        <v>58</v>
      </c>
      <c r="C100" s="2" t="s">
        <v>17</v>
      </c>
      <c r="D100" s="2" t="s">
        <v>23</v>
      </c>
      <c r="E100" s="2" t="n">
        <v>114170</v>
      </c>
      <c r="F100" s="2" t="n">
        <v>1</v>
      </c>
      <c r="G100" s="2" t="n">
        <v>9</v>
      </c>
      <c r="H100" s="2" t="n">
        <v>13</v>
      </c>
      <c r="I100" s="2" t="s">
        <v>15</v>
      </c>
      <c r="J100" s="2" t="s">
        <v>16</v>
      </c>
      <c r="K100" s="2" t="n">
        <v>100</v>
      </c>
      <c r="L100" s="8" t="str">
        <f aca="false">IF(B100&lt;25,"Gen Z",IF(B100&lt;40,"Millennial",IF(B100&lt;55,"Gen X","Baby Boomer")))</f>
        <v>Baby Boomer</v>
      </c>
      <c r="M100" s="8" t="str">
        <f aca="false">IF(E100&lt;50000,"Low Income",IF(E100&lt;80000,"Middle Income",IF(E100&lt;100000,"Upper Middle","High Income")))</f>
        <v>High Income</v>
      </c>
      <c r="N100" s="8" t="str">
        <f aca="false">IF(F100&lt;=3,"Poor",IF(F100&lt;=6,"Average",IF(F100&lt;=8,"Good","Excellent")))</f>
        <v>Poor</v>
      </c>
      <c r="O100" s="8" t="str">
        <f aca="false">IF(G100&lt;=3,"Poor",IF(G100&lt;=6,"Average",IF(G100&lt;=8,"Good","Excellent")))</f>
        <v>Excellent</v>
      </c>
      <c r="P100" s="8" t="str">
        <f aca="false">IF(H100&lt;=5,"Low Frequency",IF(H100&lt;=10,"Moderate",IF(H100&lt;=15,"High","Very High")))</f>
        <v>High</v>
      </c>
      <c r="Q100" s="8" t="str">
        <f aca="false">IF(K100&gt;=90,"Highly Satisfied",IF(K100&gt;=75,"Satisfied",IF(K100&gt;=60,"Neutral","Dissatisfied")))</f>
        <v>Highly Satisfied</v>
      </c>
      <c r="R100" s="8" t="str">
        <f aca="false">UPPER(LEFT(TRIM(J100),1))&amp;LOWER(MID(TRIM(J100),2,100))</f>
        <v>Gold</v>
      </c>
      <c r="S100" s="8" t="str">
        <f aca="false">IF(I100="High","Positive",IF(I100="Medium","Neutral","Negative"))</f>
        <v>Neutral</v>
      </c>
      <c r="T100" s="8" t="str">
        <f aca="false">IF(AND(E100&gt;=80000,H100&gt;=15),"Premium",IF(AND(E100&gt;=50000,H100&gt;=10),"Standard","Basic"))</f>
        <v>Standard</v>
      </c>
      <c r="U100" s="8" t="str">
        <f aca="false">IF(AND(F100&gt;=7,G100&gt;=7),"High Quality Experience","Review Needed")</f>
        <v>Review Needed</v>
      </c>
      <c r="V100" s="8" t="str">
        <f aca="false">IF(H100&gt;=10,"Repeat Buyer","Occasional Buyer")</f>
        <v>Repeat Buyer</v>
      </c>
      <c r="W100" s="8" t="str">
        <f aca="false">IF(AND(K100&lt;70,I100="Low"),"At Risk","Stable")</f>
        <v>Stable</v>
      </c>
      <c r="X100" s="8" t="str">
        <f aca="false">IF(AND(K100&lt;75,I100="Low",J100="Bronze"),"Priority Followup","No Action")</f>
        <v>No Action</v>
      </c>
    </row>
    <row r="101" customFormat="false" ht="15" hidden="false" customHeight="false" outlineLevel="0" collapsed="false">
      <c r="A101" s="3" t="n">
        <v>99</v>
      </c>
      <c r="B101" s="3" t="n">
        <v>46</v>
      </c>
      <c r="C101" s="3" t="s">
        <v>11</v>
      </c>
      <c r="D101" s="3" t="s">
        <v>18</v>
      </c>
      <c r="E101" s="3" t="n">
        <v>51814</v>
      </c>
      <c r="F101" s="3" t="n">
        <v>5</v>
      </c>
      <c r="G101" s="3" t="n">
        <v>3</v>
      </c>
      <c r="H101" s="3" t="n">
        <v>2</v>
      </c>
      <c r="I101" s="3" t="s">
        <v>21</v>
      </c>
      <c r="J101" s="3" t="s">
        <v>16</v>
      </c>
      <c r="K101" s="3" t="n">
        <v>62.79</v>
      </c>
      <c r="L101" s="7" t="str">
        <f aca="false">IF(B101&lt;25,"Gen Z",IF(B101&lt;40,"Millennial",IF(B101&lt;55,"Gen X","Baby Boomer")))</f>
        <v>Gen X</v>
      </c>
      <c r="M101" s="7" t="str">
        <f aca="false">IF(E101&lt;50000,"Low Income",IF(E101&lt;80000,"Middle Income",IF(E101&lt;100000,"Upper Middle","High Income")))</f>
        <v>Middle Income</v>
      </c>
      <c r="N101" s="7" t="str">
        <f aca="false">IF(F101&lt;=3,"Poor",IF(F101&lt;=6,"Average",IF(F101&lt;=8,"Good","Excellent")))</f>
        <v>Average</v>
      </c>
      <c r="O101" s="7" t="str">
        <f aca="false">IF(G101&lt;=3,"Poor",IF(G101&lt;=6,"Average",IF(G101&lt;=8,"Good","Excellent")))</f>
        <v>Poor</v>
      </c>
      <c r="P101" s="7" t="str">
        <f aca="false">IF(H101&lt;=5,"Low Frequency",IF(H101&lt;=10,"Moderate",IF(H101&lt;=15,"High","Very High")))</f>
        <v>Low Frequency</v>
      </c>
      <c r="Q101" s="7" t="str">
        <f aca="false">IF(K101&gt;=90,"Highly Satisfied",IF(K101&gt;=75,"Satisfied",IF(K101&gt;=60,"Neutral","Dissatisfied")))</f>
        <v>Neutral</v>
      </c>
      <c r="R101" s="7" t="str">
        <f aca="false">UPPER(LEFT(TRIM(J101),1))&amp;LOWER(MID(TRIM(J101),2,100))</f>
        <v>Gold</v>
      </c>
      <c r="S101" s="7" t="str">
        <f aca="false">IF(I101="High","Positive",IF(I101="Medium","Neutral","Negative"))</f>
        <v>Positive</v>
      </c>
      <c r="T101" s="7" t="str">
        <f aca="false">IF(AND(E101&gt;=80000,H101&gt;=15),"Premium",IF(AND(E101&gt;=50000,H101&gt;=10),"Standard","Basic"))</f>
        <v>Basic</v>
      </c>
      <c r="U101" s="7" t="str">
        <f aca="false">IF(AND(F101&gt;=7,G101&gt;=7),"High Quality Experience","Review Needed")</f>
        <v>Review Needed</v>
      </c>
      <c r="V101" s="7" t="str">
        <f aca="false">IF(H101&gt;=10,"Repeat Buyer","Occasional Buyer")</f>
        <v>Occasional Buyer</v>
      </c>
      <c r="W101" s="7" t="str">
        <f aca="false">IF(AND(K101&lt;70,I101="Low"),"At Risk","Stable")</f>
        <v>Stable</v>
      </c>
      <c r="X101" s="7" t="str">
        <f aca="false">IF(AND(K101&lt;75,I101="Low",J101="Bronze"),"Priority Followup","No Action")</f>
        <v>No Action</v>
      </c>
    </row>
    <row r="102" customFormat="false" ht="15" hidden="false" customHeight="false" outlineLevel="0" collapsed="false">
      <c r="A102" s="2" t="n">
        <v>100</v>
      </c>
      <c r="B102" s="2" t="n">
        <v>32</v>
      </c>
      <c r="C102" s="2" t="s">
        <v>17</v>
      </c>
      <c r="D102" s="2" t="s">
        <v>22</v>
      </c>
      <c r="E102" s="2" t="n">
        <v>48027</v>
      </c>
      <c r="F102" s="2" t="n">
        <v>8</v>
      </c>
      <c r="G102" s="2" t="n">
        <v>7</v>
      </c>
      <c r="H102" s="2" t="n">
        <v>6</v>
      </c>
      <c r="I102" s="2" t="s">
        <v>21</v>
      </c>
      <c r="J102" s="2" t="s">
        <v>16</v>
      </c>
      <c r="K102" s="2" t="n">
        <v>73.83</v>
      </c>
      <c r="L102" s="8" t="str">
        <f aca="false">IF(B102&lt;25,"Gen Z",IF(B102&lt;40,"Millennial",IF(B102&lt;55,"Gen X","Baby Boomer")))</f>
        <v>Millennial</v>
      </c>
      <c r="M102" s="8" t="str">
        <f aca="false">IF(E102&lt;50000,"Low Income",IF(E102&lt;80000,"Middle Income",IF(E102&lt;100000,"Upper Middle","High Income")))</f>
        <v>Low Income</v>
      </c>
      <c r="N102" s="8" t="str">
        <f aca="false">IF(F102&lt;=3,"Poor",IF(F102&lt;=6,"Average",IF(F102&lt;=8,"Good","Excellent")))</f>
        <v>Good</v>
      </c>
      <c r="O102" s="8" t="str">
        <f aca="false">IF(G102&lt;=3,"Poor",IF(G102&lt;=6,"Average",IF(G102&lt;=8,"Good","Excellent")))</f>
        <v>Good</v>
      </c>
      <c r="P102" s="8" t="str">
        <f aca="false">IF(H102&lt;=5,"Low Frequency",IF(H102&lt;=10,"Moderate",IF(H102&lt;=15,"High","Very High")))</f>
        <v>Moderate</v>
      </c>
      <c r="Q102" s="8" t="str">
        <f aca="false">IF(K102&gt;=90,"Highly Satisfied",IF(K102&gt;=75,"Satisfied",IF(K102&gt;=60,"Neutral","Dissatisfied")))</f>
        <v>Neutral</v>
      </c>
      <c r="R102" s="8" t="str">
        <f aca="false">UPPER(LEFT(TRIM(J102),1))&amp;LOWER(MID(TRIM(J102),2,100))</f>
        <v>Gold</v>
      </c>
      <c r="S102" s="8" t="str">
        <f aca="false">IF(I102="High","Positive",IF(I102="Medium","Neutral","Negative"))</f>
        <v>Positive</v>
      </c>
      <c r="T102" s="8" t="str">
        <f aca="false">IF(AND(E102&gt;=80000,H102&gt;=15),"Premium",IF(AND(E102&gt;=50000,H102&gt;=10),"Standard","Basic"))</f>
        <v>Basic</v>
      </c>
      <c r="U102" s="8" t="str">
        <f aca="false">IF(AND(F102&gt;=7,G102&gt;=7),"High Quality Experience","Review Needed")</f>
        <v>High Quality Experience</v>
      </c>
      <c r="V102" s="8" t="str">
        <f aca="false">IF(H102&gt;=10,"Repeat Buyer","Occasional Buyer")</f>
        <v>Occasional Buyer</v>
      </c>
      <c r="W102" s="8" t="str">
        <f aca="false">IF(AND(K102&lt;70,I102="Low"),"At Risk","Stable")</f>
        <v>Stable</v>
      </c>
      <c r="X102" s="8" t="str">
        <f aca="false">IF(AND(K102&lt;75,I102="Low",J102="Bronze"),"Priority Followup","No Action")</f>
        <v>No Action</v>
      </c>
    </row>
    <row r="103" customFormat="false" ht="15" hidden="false" customHeight="false" outlineLevel="0" collapsed="false">
      <c r="A103" s="3" t="n">
        <v>101</v>
      </c>
      <c r="B103" s="3" t="n">
        <v>62</v>
      </c>
      <c r="C103" s="3" t="s">
        <v>17</v>
      </c>
      <c r="D103" s="3" t="s">
        <v>18</v>
      </c>
      <c r="E103" s="3" t="n">
        <v>84302</v>
      </c>
      <c r="F103" s="3" t="n">
        <v>6</v>
      </c>
      <c r="G103" s="3" t="n">
        <v>6</v>
      </c>
      <c r="H103" s="3" t="n">
        <v>17</v>
      </c>
      <c r="I103" s="3" t="s">
        <v>13</v>
      </c>
      <c r="J103" s="3" t="s">
        <v>14</v>
      </c>
      <c r="K103" s="3" t="n">
        <v>100</v>
      </c>
      <c r="L103" s="7" t="str">
        <f aca="false">IF(B103&lt;25,"Gen Z",IF(B103&lt;40,"Millennial",IF(B103&lt;55,"Gen X","Baby Boomer")))</f>
        <v>Baby Boomer</v>
      </c>
      <c r="M103" s="7" t="str">
        <f aca="false">IF(E103&lt;50000,"Low Income",IF(E103&lt;80000,"Middle Income",IF(E103&lt;100000,"Upper Middle","High Income")))</f>
        <v>Upper Middle</v>
      </c>
      <c r="N103" s="7" t="str">
        <f aca="false">IF(F103&lt;=3,"Poor",IF(F103&lt;=6,"Average",IF(F103&lt;=8,"Good","Excellent")))</f>
        <v>Average</v>
      </c>
      <c r="O103" s="7" t="str">
        <f aca="false">IF(G103&lt;=3,"Poor",IF(G103&lt;=6,"Average",IF(G103&lt;=8,"Good","Excellent")))</f>
        <v>Average</v>
      </c>
      <c r="P103" s="7" t="str">
        <f aca="false">IF(H103&lt;=5,"Low Frequency",IF(H103&lt;=10,"Moderate",IF(H103&lt;=15,"High","Very High")))</f>
        <v>Very High</v>
      </c>
      <c r="Q103" s="7" t="str">
        <f aca="false">IF(K103&gt;=90,"Highly Satisfied",IF(K103&gt;=75,"Satisfied",IF(K103&gt;=60,"Neutral","Dissatisfied")))</f>
        <v>Highly Satisfied</v>
      </c>
      <c r="R103" s="7" t="str">
        <f aca="false">UPPER(LEFT(TRIM(J103),1))&amp;LOWER(MID(TRIM(J103),2,100))</f>
        <v>Bronze</v>
      </c>
      <c r="S103" s="7" t="str">
        <f aca="false">IF(I103="High","Positive",IF(I103="Medium","Neutral","Negative"))</f>
        <v>Negative</v>
      </c>
      <c r="T103" s="7" t="str">
        <f aca="false">IF(AND(E103&gt;=80000,H103&gt;=15),"Premium",IF(AND(E103&gt;=50000,H103&gt;=10),"Standard","Basic"))</f>
        <v>Premium</v>
      </c>
      <c r="U103" s="7" t="str">
        <f aca="false">IF(AND(F103&gt;=7,G103&gt;=7),"High Quality Experience","Review Needed")</f>
        <v>Review Needed</v>
      </c>
      <c r="V103" s="7" t="str">
        <f aca="false">IF(H103&gt;=10,"Repeat Buyer","Occasional Buyer")</f>
        <v>Repeat Buyer</v>
      </c>
      <c r="W103" s="7" t="str">
        <f aca="false">IF(AND(K103&lt;70,I103="Low"),"At Risk","Stable")</f>
        <v>Stable</v>
      </c>
      <c r="X103" s="7" t="str">
        <f aca="false">IF(AND(K103&lt;75,I103="Low",J103="Bronze"),"Priority Followup","No Action")</f>
        <v>No Action</v>
      </c>
    </row>
    <row r="104" customFormat="false" ht="15" hidden="false" customHeight="false" outlineLevel="0" collapsed="false">
      <c r="A104" s="2" t="n">
        <v>102</v>
      </c>
      <c r="B104" s="2" t="n">
        <v>18</v>
      </c>
      <c r="C104" s="2" t="s">
        <v>11</v>
      </c>
      <c r="D104" s="2" t="s">
        <v>18</v>
      </c>
      <c r="E104" s="2" t="n">
        <v>73911</v>
      </c>
      <c r="F104" s="2" t="n">
        <v>3</v>
      </c>
      <c r="G104" s="2" t="n">
        <v>9</v>
      </c>
      <c r="H104" s="2" t="n">
        <v>13</v>
      </c>
      <c r="I104" s="2" t="s">
        <v>13</v>
      </c>
      <c r="J104" s="2" t="s">
        <v>16</v>
      </c>
      <c r="K104" s="2" t="n">
        <v>87.24</v>
      </c>
      <c r="L104" s="8" t="str">
        <f aca="false">IF(B104&lt;25,"Gen Z",IF(B104&lt;40,"Millennial",IF(B104&lt;55,"Gen X","Baby Boomer")))</f>
        <v>Gen Z</v>
      </c>
      <c r="M104" s="8" t="str">
        <f aca="false">IF(E104&lt;50000,"Low Income",IF(E104&lt;80000,"Middle Income",IF(E104&lt;100000,"Upper Middle","High Income")))</f>
        <v>Middle Income</v>
      </c>
      <c r="N104" s="8" t="str">
        <f aca="false">IF(F104&lt;=3,"Poor",IF(F104&lt;=6,"Average",IF(F104&lt;=8,"Good","Excellent")))</f>
        <v>Poor</v>
      </c>
      <c r="O104" s="8" t="str">
        <f aca="false">IF(G104&lt;=3,"Poor",IF(G104&lt;=6,"Average",IF(G104&lt;=8,"Good","Excellent")))</f>
        <v>Excellent</v>
      </c>
      <c r="P104" s="8" t="str">
        <f aca="false">IF(H104&lt;=5,"Low Frequency",IF(H104&lt;=10,"Moderate",IF(H104&lt;=15,"High","Very High")))</f>
        <v>High</v>
      </c>
      <c r="Q104" s="8" t="str">
        <f aca="false">IF(K104&gt;=90,"Highly Satisfied",IF(K104&gt;=75,"Satisfied",IF(K104&gt;=60,"Neutral","Dissatisfied")))</f>
        <v>Satisfied</v>
      </c>
      <c r="R104" s="8" t="str">
        <f aca="false">UPPER(LEFT(TRIM(J104),1))&amp;LOWER(MID(TRIM(J104),2,100))</f>
        <v>Gold</v>
      </c>
      <c r="S104" s="8" t="str">
        <f aca="false">IF(I104="High","Positive",IF(I104="Medium","Neutral","Negative"))</f>
        <v>Negative</v>
      </c>
      <c r="T104" s="8" t="str">
        <f aca="false">IF(AND(E104&gt;=80000,H104&gt;=15),"Premium",IF(AND(E104&gt;=50000,H104&gt;=10),"Standard","Basic"))</f>
        <v>Standard</v>
      </c>
      <c r="U104" s="8" t="str">
        <f aca="false">IF(AND(F104&gt;=7,G104&gt;=7),"High Quality Experience","Review Needed")</f>
        <v>Review Needed</v>
      </c>
      <c r="V104" s="8" t="str">
        <f aca="false">IF(H104&gt;=10,"Repeat Buyer","Occasional Buyer")</f>
        <v>Repeat Buyer</v>
      </c>
      <c r="W104" s="8" t="str">
        <f aca="false">IF(AND(K104&lt;70,I104="Low"),"At Risk","Stable")</f>
        <v>Stable</v>
      </c>
      <c r="X104" s="8" t="str">
        <f aca="false">IF(AND(K104&lt;75,I104="Low",J104="Bronze"),"Priority Followup","No Action")</f>
        <v>No Action</v>
      </c>
    </row>
    <row r="105" customFormat="false" ht="15" hidden="false" customHeight="false" outlineLevel="0" collapsed="false">
      <c r="A105" s="3" t="n">
        <v>103</v>
      </c>
      <c r="B105" s="3" t="n">
        <v>42</v>
      </c>
      <c r="C105" s="3" t="s">
        <v>17</v>
      </c>
      <c r="D105" s="3" t="s">
        <v>18</v>
      </c>
      <c r="E105" s="3" t="n">
        <v>42143</v>
      </c>
      <c r="F105" s="3" t="n">
        <v>4</v>
      </c>
      <c r="G105" s="3" t="n">
        <v>9</v>
      </c>
      <c r="H105" s="3" t="n">
        <v>14</v>
      </c>
      <c r="I105" s="3" t="s">
        <v>21</v>
      </c>
      <c r="J105" s="3" t="s">
        <v>16</v>
      </c>
      <c r="K105" s="3" t="n">
        <v>100</v>
      </c>
      <c r="L105" s="7" t="str">
        <f aca="false">IF(B105&lt;25,"Gen Z",IF(B105&lt;40,"Millennial",IF(B105&lt;55,"Gen X","Baby Boomer")))</f>
        <v>Gen X</v>
      </c>
      <c r="M105" s="7" t="str">
        <f aca="false">IF(E105&lt;50000,"Low Income",IF(E105&lt;80000,"Middle Income",IF(E105&lt;100000,"Upper Middle","High Income")))</f>
        <v>Low Income</v>
      </c>
      <c r="N105" s="7" t="str">
        <f aca="false">IF(F105&lt;=3,"Poor",IF(F105&lt;=6,"Average",IF(F105&lt;=8,"Good","Excellent")))</f>
        <v>Average</v>
      </c>
      <c r="O105" s="7" t="str">
        <f aca="false">IF(G105&lt;=3,"Poor",IF(G105&lt;=6,"Average",IF(G105&lt;=8,"Good","Excellent")))</f>
        <v>Excellent</v>
      </c>
      <c r="P105" s="7" t="str">
        <f aca="false">IF(H105&lt;=5,"Low Frequency",IF(H105&lt;=10,"Moderate",IF(H105&lt;=15,"High","Very High")))</f>
        <v>High</v>
      </c>
      <c r="Q105" s="7" t="str">
        <f aca="false">IF(K105&gt;=90,"Highly Satisfied",IF(K105&gt;=75,"Satisfied",IF(K105&gt;=60,"Neutral","Dissatisfied")))</f>
        <v>Highly Satisfied</v>
      </c>
      <c r="R105" s="7" t="str">
        <f aca="false">UPPER(LEFT(TRIM(J105),1))&amp;LOWER(MID(TRIM(J105),2,100))</f>
        <v>Gold</v>
      </c>
      <c r="S105" s="7" t="str">
        <f aca="false">IF(I105="High","Positive",IF(I105="Medium","Neutral","Negative"))</f>
        <v>Positive</v>
      </c>
      <c r="T105" s="7" t="str">
        <f aca="false">IF(AND(E105&gt;=80000,H105&gt;=15),"Premium",IF(AND(E105&gt;=50000,H105&gt;=10),"Standard","Basic"))</f>
        <v>Basic</v>
      </c>
      <c r="U105" s="7" t="str">
        <f aca="false">IF(AND(F105&gt;=7,G105&gt;=7),"High Quality Experience","Review Needed")</f>
        <v>Review Needed</v>
      </c>
      <c r="V105" s="7" t="str">
        <f aca="false">IF(H105&gt;=10,"Repeat Buyer","Occasional Buyer")</f>
        <v>Repeat Buyer</v>
      </c>
      <c r="W105" s="7" t="str">
        <f aca="false">IF(AND(K105&lt;70,I105="Low"),"At Risk","Stable")</f>
        <v>Stable</v>
      </c>
      <c r="X105" s="7" t="str">
        <f aca="false">IF(AND(K105&lt;75,I105="Low",J105="Bronze"),"Priority Followup","No Action")</f>
        <v>No Action</v>
      </c>
    </row>
    <row r="106" customFormat="false" ht="15" hidden="false" customHeight="false" outlineLevel="0" collapsed="false">
      <c r="A106" s="2" t="n">
        <v>104</v>
      </c>
      <c r="B106" s="2" t="n">
        <v>24</v>
      </c>
      <c r="C106" s="2" t="s">
        <v>11</v>
      </c>
      <c r="D106" s="2" t="s">
        <v>12</v>
      </c>
      <c r="E106" s="2" t="n">
        <v>109502</v>
      </c>
      <c r="F106" s="2" t="n">
        <v>5</v>
      </c>
      <c r="G106" s="2" t="n">
        <v>4</v>
      </c>
      <c r="H106" s="2" t="n">
        <v>11</v>
      </c>
      <c r="I106" s="2" t="s">
        <v>13</v>
      </c>
      <c r="J106" s="2" t="s">
        <v>16</v>
      </c>
      <c r="K106" s="2" t="n">
        <v>84.43</v>
      </c>
      <c r="L106" s="8" t="str">
        <f aca="false">IF(B106&lt;25,"Gen Z",IF(B106&lt;40,"Millennial",IF(B106&lt;55,"Gen X","Baby Boomer")))</f>
        <v>Gen Z</v>
      </c>
      <c r="M106" s="8" t="str">
        <f aca="false">IF(E106&lt;50000,"Low Income",IF(E106&lt;80000,"Middle Income",IF(E106&lt;100000,"Upper Middle","High Income")))</f>
        <v>High Income</v>
      </c>
      <c r="N106" s="8" t="str">
        <f aca="false">IF(F106&lt;=3,"Poor",IF(F106&lt;=6,"Average",IF(F106&lt;=8,"Good","Excellent")))</f>
        <v>Average</v>
      </c>
      <c r="O106" s="8" t="str">
        <f aca="false">IF(G106&lt;=3,"Poor",IF(G106&lt;=6,"Average",IF(G106&lt;=8,"Good","Excellent")))</f>
        <v>Average</v>
      </c>
      <c r="P106" s="8" t="str">
        <f aca="false">IF(H106&lt;=5,"Low Frequency",IF(H106&lt;=10,"Moderate",IF(H106&lt;=15,"High","Very High")))</f>
        <v>High</v>
      </c>
      <c r="Q106" s="8" t="str">
        <f aca="false">IF(K106&gt;=90,"Highly Satisfied",IF(K106&gt;=75,"Satisfied",IF(K106&gt;=60,"Neutral","Dissatisfied")))</f>
        <v>Satisfied</v>
      </c>
      <c r="R106" s="8" t="str">
        <f aca="false">UPPER(LEFT(TRIM(J106),1))&amp;LOWER(MID(TRIM(J106),2,100))</f>
        <v>Gold</v>
      </c>
      <c r="S106" s="8" t="str">
        <f aca="false">IF(I106="High","Positive",IF(I106="Medium","Neutral","Negative"))</f>
        <v>Negative</v>
      </c>
      <c r="T106" s="8" t="str">
        <f aca="false">IF(AND(E106&gt;=80000,H106&gt;=15),"Premium",IF(AND(E106&gt;=50000,H106&gt;=10),"Standard","Basic"))</f>
        <v>Standard</v>
      </c>
      <c r="U106" s="8" t="str">
        <f aca="false">IF(AND(F106&gt;=7,G106&gt;=7),"High Quality Experience","Review Needed")</f>
        <v>Review Needed</v>
      </c>
      <c r="V106" s="8" t="str">
        <f aca="false">IF(H106&gt;=10,"Repeat Buyer","Occasional Buyer")</f>
        <v>Repeat Buyer</v>
      </c>
      <c r="W106" s="8" t="str">
        <f aca="false">IF(AND(K106&lt;70,I106="Low"),"At Risk","Stable")</f>
        <v>Stable</v>
      </c>
      <c r="X106" s="8" t="str">
        <f aca="false">IF(AND(K106&lt;75,I106="Low",J106="Bronze"),"Priority Followup","No Action")</f>
        <v>No Action</v>
      </c>
    </row>
    <row r="107" customFormat="false" ht="15" hidden="false" customHeight="false" outlineLevel="0" collapsed="false">
      <c r="A107" s="3" t="n">
        <v>105</v>
      </c>
      <c r="B107" s="3" t="n">
        <v>26</v>
      </c>
      <c r="C107" s="3" t="s">
        <v>11</v>
      </c>
      <c r="D107" s="3" t="s">
        <v>22</v>
      </c>
      <c r="E107" s="3" t="n">
        <v>78192</v>
      </c>
      <c r="F107" s="3" t="n">
        <v>5</v>
      </c>
      <c r="G107" s="3" t="n">
        <v>5</v>
      </c>
      <c r="H107" s="3" t="n">
        <v>11</v>
      </c>
      <c r="I107" s="3" t="s">
        <v>21</v>
      </c>
      <c r="J107" s="3" t="s">
        <v>19</v>
      </c>
      <c r="K107" s="3" t="n">
        <v>85.26</v>
      </c>
      <c r="L107" s="7" t="str">
        <f aca="false">IF(B107&lt;25,"Gen Z",IF(B107&lt;40,"Millennial",IF(B107&lt;55,"Gen X","Baby Boomer")))</f>
        <v>Millennial</v>
      </c>
      <c r="M107" s="7" t="str">
        <f aca="false">IF(E107&lt;50000,"Low Income",IF(E107&lt;80000,"Middle Income",IF(E107&lt;100000,"Upper Middle","High Income")))</f>
        <v>Middle Income</v>
      </c>
      <c r="N107" s="7" t="str">
        <f aca="false">IF(F107&lt;=3,"Poor",IF(F107&lt;=6,"Average",IF(F107&lt;=8,"Good","Excellent")))</f>
        <v>Average</v>
      </c>
      <c r="O107" s="7" t="str">
        <f aca="false">IF(G107&lt;=3,"Poor",IF(G107&lt;=6,"Average",IF(G107&lt;=8,"Good","Excellent")))</f>
        <v>Average</v>
      </c>
      <c r="P107" s="7" t="str">
        <f aca="false">IF(H107&lt;=5,"Low Frequency",IF(H107&lt;=10,"Moderate",IF(H107&lt;=15,"High","Very High")))</f>
        <v>High</v>
      </c>
      <c r="Q107" s="7" t="str">
        <f aca="false">IF(K107&gt;=90,"Highly Satisfied",IF(K107&gt;=75,"Satisfied",IF(K107&gt;=60,"Neutral","Dissatisfied")))</f>
        <v>Satisfied</v>
      </c>
      <c r="R107" s="7" t="str">
        <f aca="false">UPPER(LEFT(TRIM(J107),1))&amp;LOWER(MID(TRIM(J107),2,100))</f>
        <v>Silver</v>
      </c>
      <c r="S107" s="7" t="str">
        <f aca="false">IF(I107="High","Positive",IF(I107="Medium","Neutral","Negative"))</f>
        <v>Positive</v>
      </c>
      <c r="T107" s="7" t="str">
        <f aca="false">IF(AND(E107&gt;=80000,H107&gt;=15),"Premium",IF(AND(E107&gt;=50000,H107&gt;=10),"Standard","Basic"))</f>
        <v>Standard</v>
      </c>
      <c r="U107" s="7" t="str">
        <f aca="false">IF(AND(F107&gt;=7,G107&gt;=7),"High Quality Experience","Review Needed")</f>
        <v>Review Needed</v>
      </c>
      <c r="V107" s="7" t="str">
        <f aca="false">IF(H107&gt;=10,"Repeat Buyer","Occasional Buyer")</f>
        <v>Repeat Buyer</v>
      </c>
      <c r="W107" s="7" t="str">
        <f aca="false">IF(AND(K107&lt;70,I107="Low"),"At Risk","Stable")</f>
        <v>Stable</v>
      </c>
      <c r="X107" s="7" t="str">
        <f aca="false">IF(AND(K107&lt;75,I107="Low",J107="Bronze"),"Priority Followup","No Action")</f>
        <v>No Action</v>
      </c>
    </row>
    <row r="108" customFormat="false" ht="15" hidden="false" customHeight="false" outlineLevel="0" collapsed="false">
      <c r="A108" s="2" t="n">
        <v>106</v>
      </c>
      <c r="B108" s="2" t="n">
        <v>41</v>
      </c>
      <c r="C108" s="2" t="s">
        <v>11</v>
      </c>
      <c r="D108" s="2" t="s">
        <v>20</v>
      </c>
      <c r="E108" s="2" t="n">
        <v>92190</v>
      </c>
      <c r="F108" s="2" t="n">
        <v>2</v>
      </c>
      <c r="G108" s="2" t="n">
        <v>4</v>
      </c>
      <c r="H108" s="2" t="n">
        <v>8</v>
      </c>
      <c r="I108" s="2" t="s">
        <v>15</v>
      </c>
      <c r="J108" s="2" t="s">
        <v>16</v>
      </c>
      <c r="K108" s="2" t="n">
        <v>59.89</v>
      </c>
      <c r="L108" s="8" t="str">
        <f aca="false">IF(B108&lt;25,"Gen Z",IF(B108&lt;40,"Millennial",IF(B108&lt;55,"Gen X","Baby Boomer")))</f>
        <v>Gen X</v>
      </c>
      <c r="M108" s="8" t="str">
        <f aca="false">IF(E108&lt;50000,"Low Income",IF(E108&lt;80000,"Middle Income",IF(E108&lt;100000,"Upper Middle","High Income")))</f>
        <v>Upper Middle</v>
      </c>
      <c r="N108" s="8" t="str">
        <f aca="false">IF(F108&lt;=3,"Poor",IF(F108&lt;=6,"Average",IF(F108&lt;=8,"Good","Excellent")))</f>
        <v>Poor</v>
      </c>
      <c r="O108" s="8" t="str">
        <f aca="false">IF(G108&lt;=3,"Poor",IF(G108&lt;=6,"Average",IF(G108&lt;=8,"Good","Excellent")))</f>
        <v>Average</v>
      </c>
      <c r="P108" s="8" t="str">
        <f aca="false">IF(H108&lt;=5,"Low Frequency",IF(H108&lt;=10,"Moderate",IF(H108&lt;=15,"High","Very High")))</f>
        <v>Moderate</v>
      </c>
      <c r="Q108" s="8" t="str">
        <f aca="false">IF(K108&gt;=90,"Highly Satisfied",IF(K108&gt;=75,"Satisfied",IF(K108&gt;=60,"Neutral","Dissatisfied")))</f>
        <v>Dissatisfied</v>
      </c>
      <c r="R108" s="8" t="str">
        <f aca="false">UPPER(LEFT(TRIM(J108),1))&amp;LOWER(MID(TRIM(J108),2,100))</f>
        <v>Gold</v>
      </c>
      <c r="S108" s="8" t="str">
        <f aca="false">IF(I108="High","Positive",IF(I108="Medium","Neutral","Negative"))</f>
        <v>Neutral</v>
      </c>
      <c r="T108" s="8" t="str">
        <f aca="false">IF(AND(E108&gt;=80000,H108&gt;=15),"Premium",IF(AND(E108&gt;=50000,H108&gt;=10),"Standard","Basic"))</f>
        <v>Basic</v>
      </c>
      <c r="U108" s="8" t="str">
        <f aca="false">IF(AND(F108&gt;=7,G108&gt;=7),"High Quality Experience","Review Needed")</f>
        <v>Review Needed</v>
      </c>
      <c r="V108" s="8" t="str">
        <f aca="false">IF(H108&gt;=10,"Repeat Buyer","Occasional Buyer")</f>
        <v>Occasional Buyer</v>
      </c>
      <c r="W108" s="8" t="str">
        <f aca="false">IF(AND(K108&lt;70,I108="Low"),"At Risk","Stable")</f>
        <v>Stable</v>
      </c>
      <c r="X108" s="8" t="str">
        <f aca="false">IF(AND(K108&lt;75,I108="Low",J108="Bronze"),"Priority Followup","No Action")</f>
        <v>No Action</v>
      </c>
    </row>
    <row r="109" customFormat="false" ht="15" hidden="false" customHeight="false" outlineLevel="0" collapsed="false">
      <c r="A109" s="3" t="n">
        <v>107</v>
      </c>
      <c r="B109" s="3" t="n">
        <v>18</v>
      </c>
      <c r="C109" s="3" t="s">
        <v>11</v>
      </c>
      <c r="D109" s="3" t="s">
        <v>20</v>
      </c>
      <c r="E109" s="3" t="n">
        <v>79929</v>
      </c>
      <c r="F109" s="3" t="n">
        <v>3</v>
      </c>
      <c r="G109" s="3" t="n">
        <v>9</v>
      </c>
      <c r="H109" s="3" t="n">
        <v>9</v>
      </c>
      <c r="I109" s="3" t="s">
        <v>13</v>
      </c>
      <c r="J109" s="3" t="s">
        <v>14</v>
      </c>
      <c r="K109" s="3" t="n">
        <v>79.86</v>
      </c>
      <c r="L109" s="7" t="str">
        <f aca="false">IF(B109&lt;25,"Gen Z",IF(B109&lt;40,"Millennial",IF(B109&lt;55,"Gen X","Baby Boomer")))</f>
        <v>Gen Z</v>
      </c>
      <c r="M109" s="7" t="str">
        <f aca="false">IF(E109&lt;50000,"Low Income",IF(E109&lt;80000,"Middle Income",IF(E109&lt;100000,"Upper Middle","High Income")))</f>
        <v>Middle Income</v>
      </c>
      <c r="N109" s="7" t="str">
        <f aca="false">IF(F109&lt;=3,"Poor",IF(F109&lt;=6,"Average",IF(F109&lt;=8,"Good","Excellent")))</f>
        <v>Poor</v>
      </c>
      <c r="O109" s="7" t="str">
        <f aca="false">IF(G109&lt;=3,"Poor",IF(G109&lt;=6,"Average",IF(G109&lt;=8,"Good","Excellent")))</f>
        <v>Excellent</v>
      </c>
      <c r="P109" s="7" t="str">
        <f aca="false">IF(H109&lt;=5,"Low Frequency",IF(H109&lt;=10,"Moderate",IF(H109&lt;=15,"High","Very High")))</f>
        <v>Moderate</v>
      </c>
      <c r="Q109" s="7" t="str">
        <f aca="false">IF(K109&gt;=90,"Highly Satisfied",IF(K109&gt;=75,"Satisfied",IF(K109&gt;=60,"Neutral","Dissatisfied")))</f>
        <v>Satisfied</v>
      </c>
      <c r="R109" s="7" t="str">
        <f aca="false">UPPER(LEFT(TRIM(J109),1))&amp;LOWER(MID(TRIM(J109),2,100))</f>
        <v>Bronze</v>
      </c>
      <c r="S109" s="7" t="str">
        <f aca="false">IF(I109="High","Positive",IF(I109="Medium","Neutral","Negative"))</f>
        <v>Negative</v>
      </c>
      <c r="T109" s="7" t="str">
        <f aca="false">IF(AND(E109&gt;=80000,H109&gt;=15),"Premium",IF(AND(E109&gt;=50000,H109&gt;=10),"Standard","Basic"))</f>
        <v>Basic</v>
      </c>
      <c r="U109" s="7" t="str">
        <f aca="false">IF(AND(F109&gt;=7,G109&gt;=7),"High Quality Experience","Review Needed")</f>
        <v>Review Needed</v>
      </c>
      <c r="V109" s="7" t="str">
        <f aca="false">IF(H109&gt;=10,"Repeat Buyer","Occasional Buyer")</f>
        <v>Occasional Buyer</v>
      </c>
      <c r="W109" s="7" t="str">
        <f aca="false">IF(AND(K109&lt;70,I109="Low"),"At Risk","Stable")</f>
        <v>Stable</v>
      </c>
      <c r="X109" s="7" t="str">
        <f aca="false">IF(AND(K109&lt;75,I109="Low",J109="Bronze"),"Priority Followup","No Action")</f>
        <v>No Action</v>
      </c>
    </row>
    <row r="110" customFormat="false" ht="15" hidden="false" customHeight="false" outlineLevel="0" collapsed="false">
      <c r="A110" s="2" t="n">
        <v>108</v>
      </c>
      <c r="B110" s="2" t="n">
        <v>61</v>
      </c>
      <c r="C110" s="2" t="s">
        <v>11</v>
      </c>
      <c r="D110" s="2" t="s">
        <v>12</v>
      </c>
      <c r="E110" s="2" t="n">
        <v>40839</v>
      </c>
      <c r="F110" s="2" t="n">
        <v>10</v>
      </c>
      <c r="G110" s="2" t="n">
        <v>5</v>
      </c>
      <c r="H110" s="2" t="n">
        <v>8</v>
      </c>
      <c r="I110" s="2" t="s">
        <v>13</v>
      </c>
      <c r="J110" s="2" t="s">
        <v>16</v>
      </c>
      <c r="K110" s="2" t="n">
        <v>90.56</v>
      </c>
      <c r="L110" s="8" t="str">
        <f aca="false">IF(B110&lt;25,"Gen Z",IF(B110&lt;40,"Millennial",IF(B110&lt;55,"Gen X","Baby Boomer")))</f>
        <v>Baby Boomer</v>
      </c>
      <c r="M110" s="8" t="str">
        <f aca="false">IF(E110&lt;50000,"Low Income",IF(E110&lt;80000,"Middle Income",IF(E110&lt;100000,"Upper Middle","High Income")))</f>
        <v>Low Income</v>
      </c>
      <c r="N110" s="8" t="str">
        <f aca="false">IF(F110&lt;=3,"Poor",IF(F110&lt;=6,"Average",IF(F110&lt;=8,"Good","Excellent")))</f>
        <v>Excellent</v>
      </c>
      <c r="O110" s="8" t="str">
        <f aca="false">IF(G110&lt;=3,"Poor",IF(G110&lt;=6,"Average",IF(G110&lt;=8,"Good","Excellent")))</f>
        <v>Average</v>
      </c>
      <c r="P110" s="8" t="str">
        <f aca="false">IF(H110&lt;=5,"Low Frequency",IF(H110&lt;=10,"Moderate",IF(H110&lt;=15,"High","Very High")))</f>
        <v>Moderate</v>
      </c>
      <c r="Q110" s="8" t="str">
        <f aca="false">IF(K110&gt;=90,"Highly Satisfied",IF(K110&gt;=75,"Satisfied",IF(K110&gt;=60,"Neutral","Dissatisfied")))</f>
        <v>Highly Satisfied</v>
      </c>
      <c r="R110" s="8" t="str">
        <f aca="false">UPPER(LEFT(TRIM(J110),1))&amp;LOWER(MID(TRIM(J110),2,100))</f>
        <v>Gold</v>
      </c>
      <c r="S110" s="8" t="str">
        <f aca="false">IF(I110="High","Positive",IF(I110="Medium","Neutral","Negative"))</f>
        <v>Negative</v>
      </c>
      <c r="T110" s="8" t="str">
        <f aca="false">IF(AND(E110&gt;=80000,H110&gt;=15),"Premium",IF(AND(E110&gt;=50000,H110&gt;=10),"Standard","Basic"))</f>
        <v>Basic</v>
      </c>
      <c r="U110" s="8" t="str">
        <f aca="false">IF(AND(F110&gt;=7,G110&gt;=7),"High Quality Experience","Review Needed")</f>
        <v>Review Needed</v>
      </c>
      <c r="V110" s="8" t="str">
        <f aca="false">IF(H110&gt;=10,"Repeat Buyer","Occasional Buyer")</f>
        <v>Occasional Buyer</v>
      </c>
      <c r="W110" s="8" t="str">
        <f aca="false">IF(AND(K110&lt;70,I110="Low"),"At Risk","Stable")</f>
        <v>Stable</v>
      </c>
      <c r="X110" s="8" t="str">
        <f aca="false">IF(AND(K110&lt;75,I110="Low",J110="Bronze"),"Priority Followup","No Action")</f>
        <v>No Action</v>
      </c>
    </row>
    <row r="111" customFormat="false" ht="15" hidden="false" customHeight="false" outlineLevel="0" collapsed="false">
      <c r="A111" s="3" t="n">
        <v>109</v>
      </c>
      <c r="B111" s="3" t="n">
        <v>25</v>
      </c>
      <c r="C111" s="3" t="s">
        <v>11</v>
      </c>
      <c r="D111" s="3" t="s">
        <v>18</v>
      </c>
      <c r="E111" s="3" t="n">
        <v>110206</v>
      </c>
      <c r="F111" s="3" t="n">
        <v>8</v>
      </c>
      <c r="G111" s="3" t="n">
        <v>9</v>
      </c>
      <c r="H111" s="3" t="n">
        <v>2</v>
      </c>
      <c r="I111" s="3" t="s">
        <v>15</v>
      </c>
      <c r="J111" s="3" t="s">
        <v>14</v>
      </c>
      <c r="K111" s="3" t="n">
        <v>100</v>
      </c>
      <c r="L111" s="7" t="str">
        <f aca="false">IF(B111&lt;25,"Gen Z",IF(B111&lt;40,"Millennial",IF(B111&lt;55,"Gen X","Baby Boomer")))</f>
        <v>Millennial</v>
      </c>
      <c r="M111" s="7" t="str">
        <f aca="false">IF(E111&lt;50000,"Low Income",IF(E111&lt;80000,"Middle Income",IF(E111&lt;100000,"Upper Middle","High Income")))</f>
        <v>High Income</v>
      </c>
      <c r="N111" s="7" t="str">
        <f aca="false">IF(F111&lt;=3,"Poor",IF(F111&lt;=6,"Average",IF(F111&lt;=8,"Good","Excellent")))</f>
        <v>Good</v>
      </c>
      <c r="O111" s="7" t="str">
        <f aca="false">IF(G111&lt;=3,"Poor",IF(G111&lt;=6,"Average",IF(G111&lt;=8,"Good","Excellent")))</f>
        <v>Excellent</v>
      </c>
      <c r="P111" s="7" t="str">
        <f aca="false">IF(H111&lt;=5,"Low Frequency",IF(H111&lt;=10,"Moderate",IF(H111&lt;=15,"High","Very High")))</f>
        <v>Low Frequency</v>
      </c>
      <c r="Q111" s="7" t="str">
        <f aca="false">IF(K111&gt;=90,"Highly Satisfied",IF(K111&gt;=75,"Satisfied",IF(K111&gt;=60,"Neutral","Dissatisfied")))</f>
        <v>Highly Satisfied</v>
      </c>
      <c r="R111" s="7" t="str">
        <f aca="false">UPPER(LEFT(TRIM(J111),1))&amp;LOWER(MID(TRIM(J111),2,100))</f>
        <v>Bronze</v>
      </c>
      <c r="S111" s="7" t="str">
        <f aca="false">IF(I111="High","Positive",IF(I111="Medium","Neutral","Negative"))</f>
        <v>Neutral</v>
      </c>
      <c r="T111" s="7" t="str">
        <f aca="false">IF(AND(E111&gt;=80000,H111&gt;=15),"Premium",IF(AND(E111&gt;=50000,H111&gt;=10),"Standard","Basic"))</f>
        <v>Basic</v>
      </c>
      <c r="U111" s="7" t="str">
        <f aca="false">IF(AND(F111&gt;=7,G111&gt;=7),"High Quality Experience","Review Needed")</f>
        <v>High Quality Experience</v>
      </c>
      <c r="V111" s="7" t="str">
        <f aca="false">IF(H111&gt;=10,"Repeat Buyer","Occasional Buyer")</f>
        <v>Occasional Buyer</v>
      </c>
      <c r="W111" s="7" t="str">
        <f aca="false">IF(AND(K111&lt;70,I111="Low"),"At Risk","Stable")</f>
        <v>Stable</v>
      </c>
      <c r="X111" s="7" t="str">
        <f aca="false">IF(AND(K111&lt;75,I111="Low",J111="Bronze"),"Priority Followup","No Action")</f>
        <v>No Action</v>
      </c>
    </row>
    <row r="112" customFormat="false" ht="15" hidden="false" customHeight="false" outlineLevel="0" collapsed="false">
      <c r="A112" s="2" t="n">
        <v>110</v>
      </c>
      <c r="B112" s="2" t="n">
        <v>41</v>
      </c>
      <c r="C112" s="2" t="s">
        <v>11</v>
      </c>
      <c r="D112" s="2" t="s">
        <v>20</v>
      </c>
      <c r="E112" s="2" t="n">
        <v>87200</v>
      </c>
      <c r="F112" s="2" t="n">
        <v>1</v>
      </c>
      <c r="G112" s="2" t="n">
        <v>8</v>
      </c>
      <c r="H112" s="2" t="n">
        <v>7</v>
      </c>
      <c r="I112" s="2" t="s">
        <v>15</v>
      </c>
      <c r="J112" s="2" t="s">
        <v>14</v>
      </c>
      <c r="K112" s="2" t="n">
        <v>93.71</v>
      </c>
      <c r="L112" s="8" t="str">
        <f aca="false">IF(B112&lt;25,"Gen Z",IF(B112&lt;40,"Millennial",IF(B112&lt;55,"Gen X","Baby Boomer")))</f>
        <v>Gen X</v>
      </c>
      <c r="M112" s="8" t="str">
        <f aca="false">IF(E112&lt;50000,"Low Income",IF(E112&lt;80000,"Middle Income",IF(E112&lt;100000,"Upper Middle","High Income")))</f>
        <v>Upper Middle</v>
      </c>
      <c r="N112" s="8" t="str">
        <f aca="false">IF(F112&lt;=3,"Poor",IF(F112&lt;=6,"Average",IF(F112&lt;=8,"Good","Excellent")))</f>
        <v>Poor</v>
      </c>
      <c r="O112" s="8" t="str">
        <f aca="false">IF(G112&lt;=3,"Poor",IF(G112&lt;=6,"Average",IF(G112&lt;=8,"Good","Excellent")))</f>
        <v>Good</v>
      </c>
      <c r="P112" s="8" t="str">
        <f aca="false">IF(H112&lt;=5,"Low Frequency",IF(H112&lt;=10,"Moderate",IF(H112&lt;=15,"High","Very High")))</f>
        <v>Moderate</v>
      </c>
      <c r="Q112" s="8" t="str">
        <f aca="false">IF(K112&gt;=90,"Highly Satisfied",IF(K112&gt;=75,"Satisfied",IF(K112&gt;=60,"Neutral","Dissatisfied")))</f>
        <v>Highly Satisfied</v>
      </c>
      <c r="R112" s="8" t="str">
        <f aca="false">UPPER(LEFT(TRIM(J112),1))&amp;LOWER(MID(TRIM(J112),2,100))</f>
        <v>Bronze</v>
      </c>
      <c r="S112" s="8" t="str">
        <f aca="false">IF(I112="High","Positive",IF(I112="Medium","Neutral","Negative"))</f>
        <v>Neutral</v>
      </c>
      <c r="T112" s="8" t="str">
        <f aca="false">IF(AND(E112&gt;=80000,H112&gt;=15),"Premium",IF(AND(E112&gt;=50000,H112&gt;=10),"Standard","Basic"))</f>
        <v>Basic</v>
      </c>
      <c r="U112" s="8" t="str">
        <f aca="false">IF(AND(F112&gt;=7,G112&gt;=7),"High Quality Experience","Review Needed")</f>
        <v>Review Needed</v>
      </c>
      <c r="V112" s="8" t="str">
        <f aca="false">IF(H112&gt;=10,"Repeat Buyer","Occasional Buyer")</f>
        <v>Occasional Buyer</v>
      </c>
      <c r="W112" s="8" t="str">
        <f aca="false">IF(AND(K112&lt;70,I112="Low"),"At Risk","Stable")</f>
        <v>Stable</v>
      </c>
      <c r="X112" s="8" t="str">
        <f aca="false">IF(AND(K112&lt;75,I112="Low",J112="Bronze"),"Priority Followup","No Action")</f>
        <v>No Action</v>
      </c>
    </row>
    <row r="113" customFormat="false" ht="15" hidden="false" customHeight="false" outlineLevel="0" collapsed="false">
      <c r="A113" s="3" t="n">
        <v>111</v>
      </c>
      <c r="B113" s="3" t="n">
        <v>28</v>
      </c>
      <c r="C113" s="3" t="s">
        <v>17</v>
      </c>
      <c r="D113" s="3" t="s">
        <v>22</v>
      </c>
      <c r="E113" s="3" t="n">
        <v>49631</v>
      </c>
      <c r="F113" s="3" t="n">
        <v>4</v>
      </c>
      <c r="G113" s="3" t="n">
        <v>2</v>
      </c>
      <c r="H113" s="3" t="n">
        <v>19</v>
      </c>
      <c r="I113" s="3" t="s">
        <v>13</v>
      </c>
      <c r="J113" s="3" t="s">
        <v>16</v>
      </c>
      <c r="K113" s="3" t="n">
        <v>79.97</v>
      </c>
      <c r="L113" s="7" t="str">
        <f aca="false">IF(B113&lt;25,"Gen Z",IF(B113&lt;40,"Millennial",IF(B113&lt;55,"Gen X","Baby Boomer")))</f>
        <v>Millennial</v>
      </c>
      <c r="M113" s="7" t="str">
        <f aca="false">IF(E113&lt;50000,"Low Income",IF(E113&lt;80000,"Middle Income",IF(E113&lt;100000,"Upper Middle","High Income")))</f>
        <v>Low Income</v>
      </c>
      <c r="N113" s="7" t="str">
        <f aca="false">IF(F113&lt;=3,"Poor",IF(F113&lt;=6,"Average",IF(F113&lt;=8,"Good","Excellent")))</f>
        <v>Average</v>
      </c>
      <c r="O113" s="7" t="str">
        <f aca="false">IF(G113&lt;=3,"Poor",IF(G113&lt;=6,"Average",IF(G113&lt;=8,"Good","Excellent")))</f>
        <v>Poor</v>
      </c>
      <c r="P113" s="7" t="str">
        <f aca="false">IF(H113&lt;=5,"Low Frequency",IF(H113&lt;=10,"Moderate",IF(H113&lt;=15,"High","Very High")))</f>
        <v>Very High</v>
      </c>
      <c r="Q113" s="7" t="str">
        <f aca="false">IF(K113&gt;=90,"Highly Satisfied",IF(K113&gt;=75,"Satisfied",IF(K113&gt;=60,"Neutral","Dissatisfied")))</f>
        <v>Satisfied</v>
      </c>
      <c r="R113" s="7" t="str">
        <f aca="false">UPPER(LEFT(TRIM(J113),1))&amp;LOWER(MID(TRIM(J113),2,100))</f>
        <v>Gold</v>
      </c>
      <c r="S113" s="7" t="str">
        <f aca="false">IF(I113="High","Positive",IF(I113="Medium","Neutral","Negative"))</f>
        <v>Negative</v>
      </c>
      <c r="T113" s="7" t="str">
        <f aca="false">IF(AND(E113&gt;=80000,H113&gt;=15),"Premium",IF(AND(E113&gt;=50000,H113&gt;=10),"Standard","Basic"))</f>
        <v>Basic</v>
      </c>
      <c r="U113" s="7" t="str">
        <f aca="false">IF(AND(F113&gt;=7,G113&gt;=7),"High Quality Experience","Review Needed")</f>
        <v>Review Needed</v>
      </c>
      <c r="V113" s="7" t="str">
        <f aca="false">IF(H113&gt;=10,"Repeat Buyer","Occasional Buyer")</f>
        <v>Repeat Buyer</v>
      </c>
      <c r="W113" s="7" t="str">
        <f aca="false">IF(AND(K113&lt;70,I113="Low"),"At Risk","Stable")</f>
        <v>Stable</v>
      </c>
      <c r="X113" s="7" t="str">
        <f aca="false">IF(AND(K113&lt;75,I113="Low",J113="Bronze"),"Priority Followup","No Action")</f>
        <v>No Action</v>
      </c>
    </row>
    <row r="114" customFormat="false" ht="15" hidden="false" customHeight="false" outlineLevel="0" collapsed="false">
      <c r="A114" s="2" t="n">
        <v>112</v>
      </c>
      <c r="B114" s="2" t="n">
        <v>68</v>
      </c>
      <c r="C114" s="2" t="s">
        <v>11</v>
      </c>
      <c r="D114" s="2" t="s">
        <v>23</v>
      </c>
      <c r="E114" s="2" t="n">
        <v>112389</v>
      </c>
      <c r="F114" s="2" t="n">
        <v>2</v>
      </c>
      <c r="G114" s="2" t="n">
        <v>6</v>
      </c>
      <c r="H114" s="2" t="n">
        <v>3</v>
      </c>
      <c r="I114" s="2" t="s">
        <v>15</v>
      </c>
      <c r="J114" s="2" t="s">
        <v>14</v>
      </c>
      <c r="K114" s="2" t="n">
        <v>81.08</v>
      </c>
      <c r="L114" s="8" t="str">
        <f aca="false">IF(B114&lt;25,"Gen Z",IF(B114&lt;40,"Millennial",IF(B114&lt;55,"Gen X","Baby Boomer")))</f>
        <v>Baby Boomer</v>
      </c>
      <c r="M114" s="8" t="str">
        <f aca="false">IF(E114&lt;50000,"Low Income",IF(E114&lt;80000,"Middle Income",IF(E114&lt;100000,"Upper Middle","High Income")))</f>
        <v>High Income</v>
      </c>
      <c r="N114" s="8" t="str">
        <f aca="false">IF(F114&lt;=3,"Poor",IF(F114&lt;=6,"Average",IF(F114&lt;=8,"Good","Excellent")))</f>
        <v>Poor</v>
      </c>
      <c r="O114" s="8" t="str">
        <f aca="false">IF(G114&lt;=3,"Poor",IF(G114&lt;=6,"Average",IF(G114&lt;=8,"Good","Excellent")))</f>
        <v>Average</v>
      </c>
      <c r="P114" s="8" t="str">
        <f aca="false">IF(H114&lt;=5,"Low Frequency",IF(H114&lt;=10,"Moderate",IF(H114&lt;=15,"High","Very High")))</f>
        <v>Low Frequency</v>
      </c>
      <c r="Q114" s="8" t="str">
        <f aca="false">IF(K114&gt;=90,"Highly Satisfied",IF(K114&gt;=75,"Satisfied",IF(K114&gt;=60,"Neutral","Dissatisfied")))</f>
        <v>Satisfied</v>
      </c>
      <c r="R114" s="8" t="str">
        <f aca="false">UPPER(LEFT(TRIM(J114),1))&amp;LOWER(MID(TRIM(J114),2,100))</f>
        <v>Bronze</v>
      </c>
      <c r="S114" s="8" t="str">
        <f aca="false">IF(I114="High","Positive",IF(I114="Medium","Neutral","Negative"))</f>
        <v>Neutral</v>
      </c>
      <c r="T114" s="8" t="str">
        <f aca="false">IF(AND(E114&gt;=80000,H114&gt;=15),"Premium",IF(AND(E114&gt;=50000,H114&gt;=10),"Standard","Basic"))</f>
        <v>Basic</v>
      </c>
      <c r="U114" s="8" t="str">
        <f aca="false">IF(AND(F114&gt;=7,G114&gt;=7),"High Quality Experience","Review Needed")</f>
        <v>Review Needed</v>
      </c>
      <c r="V114" s="8" t="str">
        <f aca="false">IF(H114&gt;=10,"Repeat Buyer","Occasional Buyer")</f>
        <v>Occasional Buyer</v>
      </c>
      <c r="W114" s="8" t="str">
        <f aca="false">IF(AND(K114&lt;70,I114="Low"),"At Risk","Stable")</f>
        <v>Stable</v>
      </c>
      <c r="X114" s="8" t="str">
        <f aca="false">IF(AND(K114&lt;75,I114="Low",J114="Bronze"),"Priority Followup","No Action")</f>
        <v>No Action</v>
      </c>
    </row>
    <row r="115" customFormat="false" ht="15" hidden="false" customHeight="false" outlineLevel="0" collapsed="false">
      <c r="A115" s="3" t="n">
        <v>113</v>
      </c>
      <c r="B115" s="3" t="n">
        <v>34</v>
      </c>
      <c r="C115" s="3" t="s">
        <v>17</v>
      </c>
      <c r="D115" s="3" t="s">
        <v>22</v>
      </c>
      <c r="E115" s="3" t="n">
        <v>67911</v>
      </c>
      <c r="F115" s="3" t="n">
        <v>9</v>
      </c>
      <c r="G115" s="3" t="n">
        <v>7</v>
      </c>
      <c r="H115" s="3" t="n">
        <v>6</v>
      </c>
      <c r="I115" s="3" t="s">
        <v>15</v>
      </c>
      <c r="J115" s="3" t="s">
        <v>16</v>
      </c>
      <c r="K115" s="3" t="n">
        <v>100</v>
      </c>
      <c r="L115" s="7" t="str">
        <f aca="false">IF(B115&lt;25,"Gen Z",IF(B115&lt;40,"Millennial",IF(B115&lt;55,"Gen X","Baby Boomer")))</f>
        <v>Millennial</v>
      </c>
      <c r="M115" s="7" t="str">
        <f aca="false">IF(E115&lt;50000,"Low Income",IF(E115&lt;80000,"Middle Income",IF(E115&lt;100000,"Upper Middle","High Income")))</f>
        <v>Middle Income</v>
      </c>
      <c r="N115" s="7" t="str">
        <f aca="false">IF(F115&lt;=3,"Poor",IF(F115&lt;=6,"Average",IF(F115&lt;=8,"Good","Excellent")))</f>
        <v>Excellent</v>
      </c>
      <c r="O115" s="7" t="str">
        <f aca="false">IF(G115&lt;=3,"Poor",IF(G115&lt;=6,"Average",IF(G115&lt;=8,"Good","Excellent")))</f>
        <v>Good</v>
      </c>
      <c r="P115" s="7" t="str">
        <f aca="false">IF(H115&lt;=5,"Low Frequency",IF(H115&lt;=10,"Moderate",IF(H115&lt;=15,"High","Very High")))</f>
        <v>Moderate</v>
      </c>
      <c r="Q115" s="7" t="str">
        <f aca="false">IF(K115&gt;=90,"Highly Satisfied",IF(K115&gt;=75,"Satisfied",IF(K115&gt;=60,"Neutral","Dissatisfied")))</f>
        <v>Highly Satisfied</v>
      </c>
      <c r="R115" s="7" t="str">
        <f aca="false">UPPER(LEFT(TRIM(J115),1))&amp;LOWER(MID(TRIM(J115),2,100))</f>
        <v>Gold</v>
      </c>
      <c r="S115" s="7" t="str">
        <f aca="false">IF(I115="High","Positive",IF(I115="Medium","Neutral","Negative"))</f>
        <v>Neutral</v>
      </c>
      <c r="T115" s="7" t="str">
        <f aca="false">IF(AND(E115&gt;=80000,H115&gt;=15),"Premium",IF(AND(E115&gt;=50000,H115&gt;=10),"Standard","Basic"))</f>
        <v>Basic</v>
      </c>
      <c r="U115" s="7" t="str">
        <f aca="false">IF(AND(F115&gt;=7,G115&gt;=7),"High Quality Experience","Review Needed")</f>
        <v>High Quality Experience</v>
      </c>
      <c r="V115" s="7" t="str">
        <f aca="false">IF(H115&gt;=10,"Repeat Buyer","Occasional Buyer")</f>
        <v>Occasional Buyer</v>
      </c>
      <c r="W115" s="7" t="str">
        <f aca="false">IF(AND(K115&lt;70,I115="Low"),"At Risk","Stable")</f>
        <v>Stable</v>
      </c>
      <c r="X115" s="7" t="str">
        <f aca="false">IF(AND(K115&lt;75,I115="Low",J115="Bronze"),"Priority Followup","No Action")</f>
        <v>No Action</v>
      </c>
    </row>
    <row r="116" customFormat="false" ht="15" hidden="false" customHeight="false" outlineLevel="0" collapsed="false">
      <c r="A116" s="2" t="n">
        <v>114</v>
      </c>
      <c r="B116" s="2" t="n">
        <v>25</v>
      </c>
      <c r="C116" s="2" t="s">
        <v>17</v>
      </c>
      <c r="D116" s="2" t="s">
        <v>18</v>
      </c>
      <c r="E116" s="2" t="n">
        <v>35065</v>
      </c>
      <c r="F116" s="2" t="n">
        <v>7</v>
      </c>
      <c r="G116" s="2" t="n">
        <v>3</v>
      </c>
      <c r="H116" s="2" t="n">
        <v>13</v>
      </c>
      <c r="I116" s="2" t="s">
        <v>15</v>
      </c>
      <c r="J116" s="2" t="s">
        <v>19</v>
      </c>
      <c r="K116" s="2" t="n">
        <v>78.74</v>
      </c>
      <c r="L116" s="8" t="str">
        <f aca="false">IF(B116&lt;25,"Gen Z",IF(B116&lt;40,"Millennial",IF(B116&lt;55,"Gen X","Baby Boomer")))</f>
        <v>Millennial</v>
      </c>
      <c r="M116" s="8" t="str">
        <f aca="false">IF(E116&lt;50000,"Low Income",IF(E116&lt;80000,"Middle Income",IF(E116&lt;100000,"Upper Middle","High Income")))</f>
        <v>Low Income</v>
      </c>
      <c r="N116" s="8" t="str">
        <f aca="false">IF(F116&lt;=3,"Poor",IF(F116&lt;=6,"Average",IF(F116&lt;=8,"Good","Excellent")))</f>
        <v>Good</v>
      </c>
      <c r="O116" s="8" t="str">
        <f aca="false">IF(G116&lt;=3,"Poor",IF(G116&lt;=6,"Average",IF(G116&lt;=8,"Good","Excellent")))</f>
        <v>Poor</v>
      </c>
      <c r="P116" s="8" t="str">
        <f aca="false">IF(H116&lt;=5,"Low Frequency",IF(H116&lt;=10,"Moderate",IF(H116&lt;=15,"High","Very High")))</f>
        <v>High</v>
      </c>
      <c r="Q116" s="8" t="str">
        <f aca="false">IF(K116&gt;=90,"Highly Satisfied",IF(K116&gt;=75,"Satisfied",IF(K116&gt;=60,"Neutral","Dissatisfied")))</f>
        <v>Satisfied</v>
      </c>
      <c r="R116" s="8" t="str">
        <f aca="false">UPPER(LEFT(TRIM(J116),1))&amp;LOWER(MID(TRIM(J116),2,100))</f>
        <v>Silver</v>
      </c>
      <c r="S116" s="8" t="str">
        <f aca="false">IF(I116="High","Positive",IF(I116="Medium","Neutral","Negative"))</f>
        <v>Neutral</v>
      </c>
      <c r="T116" s="8" t="str">
        <f aca="false">IF(AND(E116&gt;=80000,H116&gt;=15),"Premium",IF(AND(E116&gt;=50000,H116&gt;=10),"Standard","Basic"))</f>
        <v>Basic</v>
      </c>
      <c r="U116" s="8" t="str">
        <f aca="false">IF(AND(F116&gt;=7,G116&gt;=7),"High Quality Experience","Review Needed")</f>
        <v>Review Needed</v>
      </c>
      <c r="V116" s="8" t="str">
        <f aca="false">IF(H116&gt;=10,"Repeat Buyer","Occasional Buyer")</f>
        <v>Repeat Buyer</v>
      </c>
      <c r="W116" s="8" t="str">
        <f aca="false">IF(AND(K116&lt;70,I116="Low"),"At Risk","Stable")</f>
        <v>Stable</v>
      </c>
      <c r="X116" s="8" t="str">
        <f aca="false">IF(AND(K116&lt;75,I116="Low",J116="Bronze"),"Priority Followup","No Action")</f>
        <v>No Action</v>
      </c>
    </row>
    <row r="117" customFormat="false" ht="15" hidden="false" customHeight="false" outlineLevel="0" collapsed="false">
      <c r="A117" s="3" t="n">
        <v>115</v>
      </c>
      <c r="B117" s="3" t="n">
        <v>52</v>
      </c>
      <c r="C117" s="3" t="s">
        <v>11</v>
      </c>
      <c r="D117" s="3" t="s">
        <v>22</v>
      </c>
      <c r="E117" s="3" t="n">
        <v>72646</v>
      </c>
      <c r="F117" s="3" t="n">
        <v>6</v>
      </c>
      <c r="G117" s="3" t="n">
        <v>9</v>
      </c>
      <c r="H117" s="3" t="n">
        <v>16</v>
      </c>
      <c r="I117" s="3" t="s">
        <v>15</v>
      </c>
      <c r="J117" s="3" t="s">
        <v>16</v>
      </c>
      <c r="K117" s="3" t="n">
        <v>100</v>
      </c>
      <c r="L117" s="7" t="str">
        <f aca="false">IF(B117&lt;25,"Gen Z",IF(B117&lt;40,"Millennial",IF(B117&lt;55,"Gen X","Baby Boomer")))</f>
        <v>Gen X</v>
      </c>
      <c r="M117" s="7" t="str">
        <f aca="false">IF(E117&lt;50000,"Low Income",IF(E117&lt;80000,"Middle Income",IF(E117&lt;100000,"Upper Middle","High Income")))</f>
        <v>Middle Income</v>
      </c>
      <c r="N117" s="7" t="str">
        <f aca="false">IF(F117&lt;=3,"Poor",IF(F117&lt;=6,"Average",IF(F117&lt;=8,"Good","Excellent")))</f>
        <v>Average</v>
      </c>
      <c r="O117" s="7" t="str">
        <f aca="false">IF(G117&lt;=3,"Poor",IF(G117&lt;=6,"Average",IF(G117&lt;=8,"Good","Excellent")))</f>
        <v>Excellent</v>
      </c>
      <c r="P117" s="7" t="str">
        <f aca="false">IF(H117&lt;=5,"Low Frequency",IF(H117&lt;=10,"Moderate",IF(H117&lt;=15,"High","Very High")))</f>
        <v>Very High</v>
      </c>
      <c r="Q117" s="7" t="str">
        <f aca="false">IF(K117&gt;=90,"Highly Satisfied",IF(K117&gt;=75,"Satisfied",IF(K117&gt;=60,"Neutral","Dissatisfied")))</f>
        <v>Highly Satisfied</v>
      </c>
      <c r="R117" s="7" t="str">
        <f aca="false">UPPER(LEFT(TRIM(J117),1))&amp;LOWER(MID(TRIM(J117),2,100))</f>
        <v>Gold</v>
      </c>
      <c r="S117" s="7" t="str">
        <f aca="false">IF(I117="High","Positive",IF(I117="Medium","Neutral","Negative"))</f>
        <v>Neutral</v>
      </c>
      <c r="T117" s="7" t="str">
        <f aca="false">IF(AND(E117&gt;=80000,H117&gt;=15),"Premium",IF(AND(E117&gt;=50000,H117&gt;=10),"Standard","Basic"))</f>
        <v>Standard</v>
      </c>
      <c r="U117" s="7" t="str">
        <f aca="false">IF(AND(F117&gt;=7,G117&gt;=7),"High Quality Experience","Review Needed")</f>
        <v>Review Needed</v>
      </c>
      <c r="V117" s="7" t="str">
        <f aca="false">IF(H117&gt;=10,"Repeat Buyer","Occasional Buyer")</f>
        <v>Repeat Buyer</v>
      </c>
      <c r="W117" s="7" t="str">
        <f aca="false">IF(AND(K117&lt;70,I117="Low"),"At Risk","Stable")</f>
        <v>Stable</v>
      </c>
      <c r="X117" s="7" t="str">
        <f aca="false">IF(AND(K117&lt;75,I117="Low",J117="Bronze"),"Priority Followup","No Action")</f>
        <v>No Action</v>
      </c>
    </row>
    <row r="118" customFormat="false" ht="15" hidden="false" customHeight="false" outlineLevel="0" collapsed="false">
      <c r="A118" s="2" t="n">
        <v>116</v>
      </c>
      <c r="B118" s="2" t="n">
        <v>52</v>
      </c>
      <c r="C118" s="2" t="s">
        <v>17</v>
      </c>
      <c r="D118" s="2" t="s">
        <v>18</v>
      </c>
      <c r="E118" s="2" t="n">
        <v>39540</v>
      </c>
      <c r="F118" s="2" t="n">
        <v>4</v>
      </c>
      <c r="G118" s="2" t="n">
        <v>4</v>
      </c>
      <c r="H118" s="2" t="n">
        <v>20</v>
      </c>
      <c r="I118" s="2" t="s">
        <v>21</v>
      </c>
      <c r="J118" s="2" t="s">
        <v>16</v>
      </c>
      <c r="K118" s="2" t="n">
        <v>74.69</v>
      </c>
      <c r="L118" s="8" t="str">
        <f aca="false">IF(B118&lt;25,"Gen Z",IF(B118&lt;40,"Millennial",IF(B118&lt;55,"Gen X","Baby Boomer")))</f>
        <v>Gen X</v>
      </c>
      <c r="M118" s="8" t="str">
        <f aca="false">IF(E118&lt;50000,"Low Income",IF(E118&lt;80000,"Middle Income",IF(E118&lt;100000,"Upper Middle","High Income")))</f>
        <v>Low Income</v>
      </c>
      <c r="N118" s="8" t="str">
        <f aca="false">IF(F118&lt;=3,"Poor",IF(F118&lt;=6,"Average",IF(F118&lt;=8,"Good","Excellent")))</f>
        <v>Average</v>
      </c>
      <c r="O118" s="8" t="str">
        <f aca="false">IF(G118&lt;=3,"Poor",IF(G118&lt;=6,"Average",IF(G118&lt;=8,"Good","Excellent")))</f>
        <v>Average</v>
      </c>
      <c r="P118" s="8" t="str">
        <f aca="false">IF(H118&lt;=5,"Low Frequency",IF(H118&lt;=10,"Moderate",IF(H118&lt;=15,"High","Very High")))</f>
        <v>Very High</v>
      </c>
      <c r="Q118" s="8" t="str">
        <f aca="false">IF(K118&gt;=90,"Highly Satisfied",IF(K118&gt;=75,"Satisfied",IF(K118&gt;=60,"Neutral","Dissatisfied")))</f>
        <v>Neutral</v>
      </c>
      <c r="R118" s="8" t="str">
        <f aca="false">UPPER(LEFT(TRIM(J118),1))&amp;LOWER(MID(TRIM(J118),2,100))</f>
        <v>Gold</v>
      </c>
      <c r="S118" s="8" t="str">
        <f aca="false">IF(I118="High","Positive",IF(I118="Medium","Neutral","Negative"))</f>
        <v>Positive</v>
      </c>
      <c r="T118" s="8" t="str">
        <f aca="false">IF(AND(E118&gt;=80000,H118&gt;=15),"Premium",IF(AND(E118&gt;=50000,H118&gt;=10),"Standard","Basic"))</f>
        <v>Basic</v>
      </c>
      <c r="U118" s="8" t="str">
        <f aca="false">IF(AND(F118&gt;=7,G118&gt;=7),"High Quality Experience","Review Needed")</f>
        <v>Review Needed</v>
      </c>
      <c r="V118" s="8" t="str">
        <f aca="false">IF(H118&gt;=10,"Repeat Buyer","Occasional Buyer")</f>
        <v>Repeat Buyer</v>
      </c>
      <c r="W118" s="8" t="str">
        <f aca="false">IF(AND(K118&lt;70,I118="Low"),"At Risk","Stable")</f>
        <v>Stable</v>
      </c>
      <c r="X118" s="8" t="str">
        <f aca="false">IF(AND(K118&lt;75,I118="Low",J118="Bronze"),"Priority Followup","No Action")</f>
        <v>No Action</v>
      </c>
    </row>
    <row r="119" customFormat="false" ht="15" hidden="false" customHeight="false" outlineLevel="0" collapsed="false">
      <c r="A119" s="3" t="n">
        <v>117</v>
      </c>
      <c r="B119" s="3" t="n">
        <v>50</v>
      </c>
      <c r="C119" s="3" t="s">
        <v>11</v>
      </c>
      <c r="D119" s="3" t="s">
        <v>22</v>
      </c>
      <c r="E119" s="3" t="n">
        <v>106576</v>
      </c>
      <c r="F119" s="3" t="n">
        <v>1</v>
      </c>
      <c r="G119" s="3" t="n">
        <v>4</v>
      </c>
      <c r="H119" s="3" t="n">
        <v>10</v>
      </c>
      <c r="I119" s="3" t="s">
        <v>21</v>
      </c>
      <c r="J119" s="3" t="s">
        <v>19</v>
      </c>
      <c r="K119" s="3" t="n">
        <v>70.77</v>
      </c>
      <c r="L119" s="7" t="str">
        <f aca="false">IF(B119&lt;25,"Gen Z",IF(B119&lt;40,"Millennial",IF(B119&lt;55,"Gen X","Baby Boomer")))</f>
        <v>Gen X</v>
      </c>
      <c r="M119" s="7" t="str">
        <f aca="false">IF(E119&lt;50000,"Low Income",IF(E119&lt;80000,"Middle Income",IF(E119&lt;100000,"Upper Middle","High Income")))</f>
        <v>High Income</v>
      </c>
      <c r="N119" s="7" t="str">
        <f aca="false">IF(F119&lt;=3,"Poor",IF(F119&lt;=6,"Average",IF(F119&lt;=8,"Good","Excellent")))</f>
        <v>Poor</v>
      </c>
      <c r="O119" s="7" t="str">
        <f aca="false">IF(G119&lt;=3,"Poor",IF(G119&lt;=6,"Average",IF(G119&lt;=8,"Good","Excellent")))</f>
        <v>Average</v>
      </c>
      <c r="P119" s="7" t="str">
        <f aca="false">IF(H119&lt;=5,"Low Frequency",IF(H119&lt;=10,"Moderate",IF(H119&lt;=15,"High","Very High")))</f>
        <v>Moderate</v>
      </c>
      <c r="Q119" s="7" t="str">
        <f aca="false">IF(K119&gt;=90,"Highly Satisfied",IF(K119&gt;=75,"Satisfied",IF(K119&gt;=60,"Neutral","Dissatisfied")))</f>
        <v>Neutral</v>
      </c>
      <c r="R119" s="7" t="str">
        <f aca="false">UPPER(LEFT(TRIM(J119),1))&amp;LOWER(MID(TRIM(J119),2,100))</f>
        <v>Silver</v>
      </c>
      <c r="S119" s="7" t="str">
        <f aca="false">IF(I119="High","Positive",IF(I119="Medium","Neutral","Negative"))</f>
        <v>Positive</v>
      </c>
      <c r="T119" s="7" t="str">
        <f aca="false">IF(AND(E119&gt;=80000,H119&gt;=15),"Premium",IF(AND(E119&gt;=50000,H119&gt;=10),"Standard","Basic"))</f>
        <v>Standard</v>
      </c>
      <c r="U119" s="7" t="str">
        <f aca="false">IF(AND(F119&gt;=7,G119&gt;=7),"High Quality Experience","Review Needed")</f>
        <v>Review Needed</v>
      </c>
      <c r="V119" s="7" t="str">
        <f aca="false">IF(H119&gt;=10,"Repeat Buyer","Occasional Buyer")</f>
        <v>Repeat Buyer</v>
      </c>
      <c r="W119" s="7" t="str">
        <f aca="false">IF(AND(K119&lt;70,I119="Low"),"At Risk","Stable")</f>
        <v>Stable</v>
      </c>
      <c r="X119" s="7" t="str">
        <f aca="false">IF(AND(K119&lt;75,I119="Low",J119="Bronze"),"Priority Followup","No Action")</f>
        <v>No Action</v>
      </c>
    </row>
    <row r="120" customFormat="false" ht="15" hidden="false" customHeight="false" outlineLevel="0" collapsed="false">
      <c r="A120" s="2" t="n">
        <v>118</v>
      </c>
      <c r="B120" s="2" t="n">
        <v>22</v>
      </c>
      <c r="C120" s="2" t="s">
        <v>11</v>
      </c>
      <c r="D120" s="2" t="s">
        <v>12</v>
      </c>
      <c r="E120" s="2" t="n">
        <v>68947</v>
      </c>
      <c r="F120" s="2" t="n">
        <v>9</v>
      </c>
      <c r="G120" s="2" t="n">
        <v>4</v>
      </c>
      <c r="H120" s="2" t="n">
        <v>6</v>
      </c>
      <c r="I120" s="2" t="s">
        <v>21</v>
      </c>
      <c r="J120" s="2" t="s">
        <v>19</v>
      </c>
      <c r="K120" s="2" t="n">
        <v>85.99</v>
      </c>
      <c r="L120" s="8" t="str">
        <f aca="false">IF(B120&lt;25,"Gen Z",IF(B120&lt;40,"Millennial",IF(B120&lt;55,"Gen X","Baby Boomer")))</f>
        <v>Gen Z</v>
      </c>
      <c r="M120" s="8" t="str">
        <f aca="false">IF(E120&lt;50000,"Low Income",IF(E120&lt;80000,"Middle Income",IF(E120&lt;100000,"Upper Middle","High Income")))</f>
        <v>Middle Income</v>
      </c>
      <c r="N120" s="8" t="str">
        <f aca="false">IF(F120&lt;=3,"Poor",IF(F120&lt;=6,"Average",IF(F120&lt;=8,"Good","Excellent")))</f>
        <v>Excellent</v>
      </c>
      <c r="O120" s="8" t="str">
        <f aca="false">IF(G120&lt;=3,"Poor",IF(G120&lt;=6,"Average",IF(G120&lt;=8,"Good","Excellent")))</f>
        <v>Average</v>
      </c>
      <c r="P120" s="8" t="str">
        <f aca="false">IF(H120&lt;=5,"Low Frequency",IF(H120&lt;=10,"Moderate",IF(H120&lt;=15,"High","Very High")))</f>
        <v>Moderate</v>
      </c>
      <c r="Q120" s="8" t="str">
        <f aca="false">IF(K120&gt;=90,"Highly Satisfied",IF(K120&gt;=75,"Satisfied",IF(K120&gt;=60,"Neutral","Dissatisfied")))</f>
        <v>Satisfied</v>
      </c>
      <c r="R120" s="8" t="str">
        <f aca="false">UPPER(LEFT(TRIM(J120),1))&amp;LOWER(MID(TRIM(J120),2,100))</f>
        <v>Silver</v>
      </c>
      <c r="S120" s="8" t="str">
        <f aca="false">IF(I120="High","Positive",IF(I120="Medium","Neutral","Negative"))</f>
        <v>Positive</v>
      </c>
      <c r="T120" s="8" t="str">
        <f aca="false">IF(AND(E120&gt;=80000,H120&gt;=15),"Premium",IF(AND(E120&gt;=50000,H120&gt;=10),"Standard","Basic"))</f>
        <v>Basic</v>
      </c>
      <c r="U120" s="8" t="str">
        <f aca="false">IF(AND(F120&gt;=7,G120&gt;=7),"High Quality Experience","Review Needed")</f>
        <v>Review Needed</v>
      </c>
      <c r="V120" s="8" t="str">
        <f aca="false">IF(H120&gt;=10,"Repeat Buyer","Occasional Buyer")</f>
        <v>Occasional Buyer</v>
      </c>
      <c r="W120" s="8" t="str">
        <f aca="false">IF(AND(K120&lt;70,I120="Low"),"At Risk","Stable")</f>
        <v>Stable</v>
      </c>
      <c r="X120" s="8" t="str">
        <f aca="false">IF(AND(K120&lt;75,I120="Low",J120="Bronze"),"Priority Followup","No Action")</f>
        <v>No Action</v>
      </c>
    </row>
    <row r="121" customFormat="false" ht="15" hidden="false" customHeight="false" outlineLevel="0" collapsed="false">
      <c r="A121" s="3" t="n">
        <v>119</v>
      </c>
      <c r="B121" s="3" t="n">
        <v>59</v>
      </c>
      <c r="C121" s="3" t="s">
        <v>11</v>
      </c>
      <c r="D121" s="3" t="s">
        <v>22</v>
      </c>
      <c r="E121" s="3" t="n">
        <v>114199</v>
      </c>
      <c r="F121" s="3" t="n">
        <v>3</v>
      </c>
      <c r="G121" s="3" t="n">
        <v>3</v>
      </c>
      <c r="H121" s="3" t="n">
        <v>1</v>
      </c>
      <c r="I121" s="3" t="s">
        <v>21</v>
      </c>
      <c r="J121" s="3" t="s">
        <v>19</v>
      </c>
      <c r="K121" s="3" t="n">
        <v>76.93</v>
      </c>
      <c r="L121" s="7" t="str">
        <f aca="false">IF(B121&lt;25,"Gen Z",IF(B121&lt;40,"Millennial",IF(B121&lt;55,"Gen X","Baby Boomer")))</f>
        <v>Baby Boomer</v>
      </c>
      <c r="M121" s="7" t="str">
        <f aca="false">IF(E121&lt;50000,"Low Income",IF(E121&lt;80000,"Middle Income",IF(E121&lt;100000,"Upper Middle","High Income")))</f>
        <v>High Income</v>
      </c>
      <c r="N121" s="7" t="str">
        <f aca="false">IF(F121&lt;=3,"Poor",IF(F121&lt;=6,"Average",IF(F121&lt;=8,"Good","Excellent")))</f>
        <v>Poor</v>
      </c>
      <c r="O121" s="7" t="str">
        <f aca="false">IF(G121&lt;=3,"Poor",IF(G121&lt;=6,"Average",IF(G121&lt;=8,"Good","Excellent")))</f>
        <v>Poor</v>
      </c>
      <c r="P121" s="7" t="str">
        <f aca="false">IF(H121&lt;=5,"Low Frequency",IF(H121&lt;=10,"Moderate",IF(H121&lt;=15,"High","Very High")))</f>
        <v>Low Frequency</v>
      </c>
      <c r="Q121" s="7" t="str">
        <f aca="false">IF(K121&gt;=90,"Highly Satisfied",IF(K121&gt;=75,"Satisfied",IF(K121&gt;=60,"Neutral","Dissatisfied")))</f>
        <v>Satisfied</v>
      </c>
      <c r="R121" s="7" t="str">
        <f aca="false">UPPER(LEFT(TRIM(J121),1))&amp;LOWER(MID(TRIM(J121),2,100))</f>
        <v>Silver</v>
      </c>
      <c r="S121" s="7" t="str">
        <f aca="false">IF(I121="High","Positive",IF(I121="Medium","Neutral","Negative"))</f>
        <v>Positive</v>
      </c>
      <c r="T121" s="7" t="str">
        <f aca="false">IF(AND(E121&gt;=80000,H121&gt;=15),"Premium",IF(AND(E121&gt;=50000,H121&gt;=10),"Standard","Basic"))</f>
        <v>Basic</v>
      </c>
      <c r="U121" s="7" t="str">
        <f aca="false">IF(AND(F121&gt;=7,G121&gt;=7),"High Quality Experience","Review Needed")</f>
        <v>Review Needed</v>
      </c>
      <c r="V121" s="7" t="str">
        <f aca="false">IF(H121&gt;=10,"Repeat Buyer","Occasional Buyer")</f>
        <v>Occasional Buyer</v>
      </c>
      <c r="W121" s="7" t="str">
        <f aca="false">IF(AND(K121&lt;70,I121="Low"),"At Risk","Stable")</f>
        <v>Stable</v>
      </c>
      <c r="X121" s="7" t="str">
        <f aca="false">IF(AND(K121&lt;75,I121="Low",J121="Bronze"),"Priority Followup","No Action")</f>
        <v>No Action</v>
      </c>
    </row>
    <row r="122" customFormat="false" ht="15" hidden="false" customHeight="false" outlineLevel="0" collapsed="false">
      <c r="A122" s="2" t="n">
        <v>120</v>
      </c>
      <c r="B122" s="2" t="n">
        <v>56</v>
      </c>
      <c r="C122" s="2" t="s">
        <v>11</v>
      </c>
      <c r="D122" s="2" t="s">
        <v>20</v>
      </c>
      <c r="E122" s="2" t="n">
        <v>96881</v>
      </c>
      <c r="F122" s="2" t="n">
        <v>3</v>
      </c>
      <c r="G122" s="2" t="n">
        <v>6</v>
      </c>
      <c r="H122" s="2" t="n">
        <v>17</v>
      </c>
      <c r="I122" s="2" t="s">
        <v>13</v>
      </c>
      <c r="J122" s="2" t="s">
        <v>19</v>
      </c>
      <c r="K122" s="2" t="n">
        <v>99.16</v>
      </c>
      <c r="L122" s="8" t="str">
        <f aca="false">IF(B122&lt;25,"Gen Z",IF(B122&lt;40,"Millennial",IF(B122&lt;55,"Gen X","Baby Boomer")))</f>
        <v>Baby Boomer</v>
      </c>
      <c r="M122" s="8" t="str">
        <f aca="false">IF(E122&lt;50000,"Low Income",IF(E122&lt;80000,"Middle Income",IF(E122&lt;100000,"Upper Middle","High Income")))</f>
        <v>Upper Middle</v>
      </c>
      <c r="N122" s="8" t="str">
        <f aca="false">IF(F122&lt;=3,"Poor",IF(F122&lt;=6,"Average",IF(F122&lt;=8,"Good","Excellent")))</f>
        <v>Poor</v>
      </c>
      <c r="O122" s="8" t="str">
        <f aca="false">IF(G122&lt;=3,"Poor",IF(G122&lt;=6,"Average",IF(G122&lt;=8,"Good","Excellent")))</f>
        <v>Average</v>
      </c>
      <c r="P122" s="8" t="str">
        <f aca="false">IF(H122&lt;=5,"Low Frequency",IF(H122&lt;=10,"Moderate",IF(H122&lt;=15,"High","Very High")))</f>
        <v>Very High</v>
      </c>
      <c r="Q122" s="8" t="str">
        <f aca="false">IF(K122&gt;=90,"Highly Satisfied",IF(K122&gt;=75,"Satisfied",IF(K122&gt;=60,"Neutral","Dissatisfied")))</f>
        <v>Highly Satisfied</v>
      </c>
      <c r="R122" s="8" t="str">
        <f aca="false">UPPER(LEFT(TRIM(J122),1))&amp;LOWER(MID(TRIM(J122),2,100))</f>
        <v>Silver</v>
      </c>
      <c r="S122" s="8" t="str">
        <f aca="false">IF(I122="High","Positive",IF(I122="Medium","Neutral","Negative"))</f>
        <v>Negative</v>
      </c>
      <c r="T122" s="8" t="str">
        <f aca="false">IF(AND(E122&gt;=80000,H122&gt;=15),"Premium",IF(AND(E122&gt;=50000,H122&gt;=10),"Standard","Basic"))</f>
        <v>Premium</v>
      </c>
      <c r="U122" s="8" t="str">
        <f aca="false">IF(AND(F122&gt;=7,G122&gt;=7),"High Quality Experience","Review Needed")</f>
        <v>Review Needed</v>
      </c>
      <c r="V122" s="8" t="str">
        <f aca="false">IF(H122&gt;=10,"Repeat Buyer","Occasional Buyer")</f>
        <v>Repeat Buyer</v>
      </c>
      <c r="W122" s="8" t="str">
        <f aca="false">IF(AND(K122&lt;70,I122="Low"),"At Risk","Stable")</f>
        <v>Stable</v>
      </c>
      <c r="X122" s="8" t="str">
        <f aca="false">IF(AND(K122&lt;75,I122="Low",J122="Bronze"),"Priority Followup","No Action")</f>
        <v>No Action</v>
      </c>
    </row>
    <row r="123" customFormat="false" ht="15" hidden="false" customHeight="false" outlineLevel="0" collapsed="false">
      <c r="A123" s="3" t="n">
        <v>121</v>
      </c>
      <c r="B123" s="3" t="n">
        <v>58</v>
      </c>
      <c r="C123" s="3" t="s">
        <v>11</v>
      </c>
      <c r="D123" s="3" t="s">
        <v>23</v>
      </c>
      <c r="E123" s="3" t="n">
        <v>114907</v>
      </c>
      <c r="F123" s="3" t="n">
        <v>6</v>
      </c>
      <c r="G123" s="3" t="n">
        <v>9</v>
      </c>
      <c r="H123" s="3" t="n">
        <v>14</v>
      </c>
      <c r="I123" s="3" t="s">
        <v>13</v>
      </c>
      <c r="J123" s="3" t="s">
        <v>16</v>
      </c>
      <c r="K123" s="3" t="n">
        <v>97.81</v>
      </c>
      <c r="L123" s="7" t="str">
        <f aca="false">IF(B123&lt;25,"Gen Z",IF(B123&lt;40,"Millennial",IF(B123&lt;55,"Gen X","Baby Boomer")))</f>
        <v>Baby Boomer</v>
      </c>
      <c r="M123" s="7" t="str">
        <f aca="false">IF(E123&lt;50000,"Low Income",IF(E123&lt;80000,"Middle Income",IF(E123&lt;100000,"Upper Middle","High Income")))</f>
        <v>High Income</v>
      </c>
      <c r="N123" s="7" t="str">
        <f aca="false">IF(F123&lt;=3,"Poor",IF(F123&lt;=6,"Average",IF(F123&lt;=8,"Good","Excellent")))</f>
        <v>Average</v>
      </c>
      <c r="O123" s="7" t="str">
        <f aca="false">IF(G123&lt;=3,"Poor",IF(G123&lt;=6,"Average",IF(G123&lt;=8,"Good","Excellent")))</f>
        <v>Excellent</v>
      </c>
      <c r="P123" s="7" t="str">
        <f aca="false">IF(H123&lt;=5,"Low Frequency",IF(H123&lt;=10,"Moderate",IF(H123&lt;=15,"High","Very High")))</f>
        <v>High</v>
      </c>
      <c r="Q123" s="7" t="str">
        <f aca="false">IF(K123&gt;=90,"Highly Satisfied",IF(K123&gt;=75,"Satisfied",IF(K123&gt;=60,"Neutral","Dissatisfied")))</f>
        <v>Highly Satisfied</v>
      </c>
      <c r="R123" s="7" t="str">
        <f aca="false">UPPER(LEFT(TRIM(J123),1))&amp;LOWER(MID(TRIM(J123),2,100))</f>
        <v>Gold</v>
      </c>
      <c r="S123" s="7" t="str">
        <f aca="false">IF(I123="High","Positive",IF(I123="Medium","Neutral","Negative"))</f>
        <v>Negative</v>
      </c>
      <c r="T123" s="7" t="str">
        <f aca="false">IF(AND(E123&gt;=80000,H123&gt;=15),"Premium",IF(AND(E123&gt;=50000,H123&gt;=10),"Standard","Basic"))</f>
        <v>Standard</v>
      </c>
      <c r="U123" s="7" t="str">
        <f aca="false">IF(AND(F123&gt;=7,G123&gt;=7),"High Quality Experience","Review Needed")</f>
        <v>Review Needed</v>
      </c>
      <c r="V123" s="7" t="str">
        <f aca="false">IF(H123&gt;=10,"Repeat Buyer","Occasional Buyer")</f>
        <v>Repeat Buyer</v>
      </c>
      <c r="W123" s="7" t="str">
        <f aca="false">IF(AND(K123&lt;70,I123="Low"),"At Risk","Stable")</f>
        <v>Stable</v>
      </c>
      <c r="X123" s="7" t="str">
        <f aca="false">IF(AND(K123&lt;75,I123="Low",J123="Bronze"),"Priority Followup","No Action")</f>
        <v>No Action</v>
      </c>
    </row>
    <row r="124" customFormat="false" ht="15" hidden="false" customHeight="false" outlineLevel="0" collapsed="false">
      <c r="A124" s="2" t="n">
        <v>122</v>
      </c>
      <c r="B124" s="2" t="n">
        <v>45</v>
      </c>
      <c r="C124" s="2" t="s">
        <v>11</v>
      </c>
      <c r="D124" s="2" t="s">
        <v>12</v>
      </c>
      <c r="E124" s="2" t="n">
        <v>106990</v>
      </c>
      <c r="F124" s="2" t="n">
        <v>6</v>
      </c>
      <c r="G124" s="2" t="n">
        <v>6</v>
      </c>
      <c r="H124" s="2" t="n">
        <v>17</v>
      </c>
      <c r="I124" s="2" t="s">
        <v>21</v>
      </c>
      <c r="J124" s="2" t="s">
        <v>19</v>
      </c>
      <c r="K124" s="2" t="n">
        <v>100</v>
      </c>
      <c r="L124" s="8" t="str">
        <f aca="false">IF(B124&lt;25,"Gen Z",IF(B124&lt;40,"Millennial",IF(B124&lt;55,"Gen X","Baby Boomer")))</f>
        <v>Gen X</v>
      </c>
      <c r="M124" s="8" t="str">
        <f aca="false">IF(E124&lt;50000,"Low Income",IF(E124&lt;80000,"Middle Income",IF(E124&lt;100000,"Upper Middle","High Income")))</f>
        <v>High Income</v>
      </c>
      <c r="N124" s="8" t="str">
        <f aca="false">IF(F124&lt;=3,"Poor",IF(F124&lt;=6,"Average",IF(F124&lt;=8,"Good","Excellent")))</f>
        <v>Average</v>
      </c>
      <c r="O124" s="8" t="str">
        <f aca="false">IF(G124&lt;=3,"Poor",IF(G124&lt;=6,"Average",IF(G124&lt;=8,"Good","Excellent")))</f>
        <v>Average</v>
      </c>
      <c r="P124" s="8" t="str">
        <f aca="false">IF(H124&lt;=5,"Low Frequency",IF(H124&lt;=10,"Moderate",IF(H124&lt;=15,"High","Very High")))</f>
        <v>Very High</v>
      </c>
      <c r="Q124" s="8" t="str">
        <f aca="false">IF(K124&gt;=90,"Highly Satisfied",IF(K124&gt;=75,"Satisfied",IF(K124&gt;=60,"Neutral","Dissatisfied")))</f>
        <v>Highly Satisfied</v>
      </c>
      <c r="R124" s="8" t="str">
        <f aca="false">UPPER(LEFT(TRIM(J124),1))&amp;LOWER(MID(TRIM(J124),2,100))</f>
        <v>Silver</v>
      </c>
      <c r="S124" s="8" t="str">
        <f aca="false">IF(I124="High","Positive",IF(I124="Medium","Neutral","Negative"))</f>
        <v>Positive</v>
      </c>
      <c r="T124" s="8" t="str">
        <f aca="false">IF(AND(E124&gt;=80000,H124&gt;=15),"Premium",IF(AND(E124&gt;=50000,H124&gt;=10),"Standard","Basic"))</f>
        <v>Premium</v>
      </c>
      <c r="U124" s="8" t="str">
        <f aca="false">IF(AND(F124&gt;=7,G124&gt;=7),"High Quality Experience","Review Needed")</f>
        <v>Review Needed</v>
      </c>
      <c r="V124" s="8" t="str">
        <f aca="false">IF(H124&gt;=10,"Repeat Buyer","Occasional Buyer")</f>
        <v>Repeat Buyer</v>
      </c>
      <c r="W124" s="8" t="str">
        <f aca="false">IF(AND(K124&lt;70,I124="Low"),"At Risk","Stable")</f>
        <v>Stable</v>
      </c>
      <c r="X124" s="8" t="str">
        <f aca="false">IF(AND(K124&lt;75,I124="Low",J124="Bronze"),"Priority Followup","No Action")</f>
        <v>No Action</v>
      </c>
    </row>
    <row r="125" customFormat="false" ht="15" hidden="false" customHeight="false" outlineLevel="0" collapsed="false">
      <c r="A125" s="3" t="n">
        <v>123</v>
      </c>
      <c r="B125" s="3" t="n">
        <v>24</v>
      </c>
      <c r="C125" s="3" t="s">
        <v>17</v>
      </c>
      <c r="D125" s="3" t="s">
        <v>22</v>
      </c>
      <c r="E125" s="3" t="n">
        <v>31196</v>
      </c>
      <c r="F125" s="3" t="n">
        <v>4</v>
      </c>
      <c r="G125" s="3" t="n">
        <v>2</v>
      </c>
      <c r="H125" s="3" t="n">
        <v>3</v>
      </c>
      <c r="I125" s="3" t="s">
        <v>15</v>
      </c>
      <c r="J125" s="3" t="s">
        <v>16</v>
      </c>
      <c r="K125" s="3" t="n">
        <v>63.03</v>
      </c>
      <c r="L125" s="7" t="str">
        <f aca="false">IF(B125&lt;25,"Gen Z",IF(B125&lt;40,"Millennial",IF(B125&lt;55,"Gen X","Baby Boomer")))</f>
        <v>Gen Z</v>
      </c>
      <c r="M125" s="7" t="str">
        <f aca="false">IF(E125&lt;50000,"Low Income",IF(E125&lt;80000,"Middle Income",IF(E125&lt;100000,"Upper Middle","High Income")))</f>
        <v>Low Income</v>
      </c>
      <c r="N125" s="7" t="str">
        <f aca="false">IF(F125&lt;=3,"Poor",IF(F125&lt;=6,"Average",IF(F125&lt;=8,"Good","Excellent")))</f>
        <v>Average</v>
      </c>
      <c r="O125" s="7" t="str">
        <f aca="false">IF(G125&lt;=3,"Poor",IF(G125&lt;=6,"Average",IF(G125&lt;=8,"Good","Excellent")))</f>
        <v>Poor</v>
      </c>
      <c r="P125" s="7" t="str">
        <f aca="false">IF(H125&lt;=5,"Low Frequency",IF(H125&lt;=10,"Moderate",IF(H125&lt;=15,"High","Very High")))</f>
        <v>Low Frequency</v>
      </c>
      <c r="Q125" s="7" t="str">
        <f aca="false">IF(K125&gt;=90,"Highly Satisfied",IF(K125&gt;=75,"Satisfied",IF(K125&gt;=60,"Neutral","Dissatisfied")))</f>
        <v>Neutral</v>
      </c>
      <c r="R125" s="7" t="str">
        <f aca="false">UPPER(LEFT(TRIM(J125),1))&amp;LOWER(MID(TRIM(J125),2,100))</f>
        <v>Gold</v>
      </c>
      <c r="S125" s="7" t="str">
        <f aca="false">IF(I125="High","Positive",IF(I125="Medium","Neutral","Negative"))</f>
        <v>Neutral</v>
      </c>
      <c r="T125" s="7" t="str">
        <f aca="false">IF(AND(E125&gt;=80000,H125&gt;=15),"Premium",IF(AND(E125&gt;=50000,H125&gt;=10),"Standard","Basic"))</f>
        <v>Basic</v>
      </c>
      <c r="U125" s="7" t="str">
        <f aca="false">IF(AND(F125&gt;=7,G125&gt;=7),"High Quality Experience","Review Needed")</f>
        <v>Review Needed</v>
      </c>
      <c r="V125" s="7" t="str">
        <f aca="false">IF(H125&gt;=10,"Repeat Buyer","Occasional Buyer")</f>
        <v>Occasional Buyer</v>
      </c>
      <c r="W125" s="7" t="str">
        <f aca="false">IF(AND(K125&lt;70,I125="Low"),"At Risk","Stable")</f>
        <v>Stable</v>
      </c>
      <c r="X125" s="7" t="str">
        <f aca="false">IF(AND(K125&lt;75,I125="Low",J125="Bronze"),"Priority Followup","No Action")</f>
        <v>No Action</v>
      </c>
    </row>
    <row r="126" customFormat="false" ht="15" hidden="false" customHeight="false" outlineLevel="0" collapsed="false">
      <c r="A126" s="2" t="n">
        <v>124</v>
      </c>
      <c r="B126" s="2" t="n">
        <v>26</v>
      </c>
      <c r="C126" s="2" t="s">
        <v>17</v>
      </c>
      <c r="D126" s="2" t="s">
        <v>18</v>
      </c>
      <c r="E126" s="2" t="n">
        <v>93460</v>
      </c>
      <c r="F126" s="2" t="n">
        <v>5</v>
      </c>
      <c r="G126" s="2" t="n">
        <v>7</v>
      </c>
      <c r="H126" s="2" t="n">
        <v>4</v>
      </c>
      <c r="I126" s="2" t="s">
        <v>13</v>
      </c>
      <c r="J126" s="2" t="s">
        <v>14</v>
      </c>
      <c r="K126" s="2" t="n">
        <v>99.76</v>
      </c>
      <c r="L126" s="8" t="str">
        <f aca="false">IF(B126&lt;25,"Gen Z",IF(B126&lt;40,"Millennial",IF(B126&lt;55,"Gen X","Baby Boomer")))</f>
        <v>Millennial</v>
      </c>
      <c r="M126" s="8" t="str">
        <f aca="false">IF(E126&lt;50000,"Low Income",IF(E126&lt;80000,"Middle Income",IF(E126&lt;100000,"Upper Middle","High Income")))</f>
        <v>Upper Middle</v>
      </c>
      <c r="N126" s="8" t="str">
        <f aca="false">IF(F126&lt;=3,"Poor",IF(F126&lt;=6,"Average",IF(F126&lt;=8,"Good","Excellent")))</f>
        <v>Average</v>
      </c>
      <c r="O126" s="8" t="str">
        <f aca="false">IF(G126&lt;=3,"Poor",IF(G126&lt;=6,"Average",IF(G126&lt;=8,"Good","Excellent")))</f>
        <v>Good</v>
      </c>
      <c r="P126" s="8" t="str">
        <f aca="false">IF(H126&lt;=5,"Low Frequency",IF(H126&lt;=10,"Moderate",IF(H126&lt;=15,"High","Very High")))</f>
        <v>Low Frequency</v>
      </c>
      <c r="Q126" s="8" t="str">
        <f aca="false">IF(K126&gt;=90,"Highly Satisfied",IF(K126&gt;=75,"Satisfied",IF(K126&gt;=60,"Neutral","Dissatisfied")))</f>
        <v>Highly Satisfied</v>
      </c>
      <c r="R126" s="8" t="str">
        <f aca="false">UPPER(LEFT(TRIM(J126),1))&amp;LOWER(MID(TRIM(J126),2,100))</f>
        <v>Bronze</v>
      </c>
      <c r="S126" s="8" t="str">
        <f aca="false">IF(I126="High","Positive",IF(I126="Medium","Neutral","Negative"))</f>
        <v>Negative</v>
      </c>
      <c r="T126" s="8" t="str">
        <f aca="false">IF(AND(E126&gt;=80000,H126&gt;=15),"Premium",IF(AND(E126&gt;=50000,H126&gt;=10),"Standard","Basic"))</f>
        <v>Basic</v>
      </c>
      <c r="U126" s="8" t="str">
        <f aca="false">IF(AND(F126&gt;=7,G126&gt;=7),"High Quality Experience","Review Needed")</f>
        <v>Review Needed</v>
      </c>
      <c r="V126" s="8" t="str">
        <f aca="false">IF(H126&gt;=10,"Repeat Buyer","Occasional Buyer")</f>
        <v>Occasional Buyer</v>
      </c>
      <c r="W126" s="8" t="str">
        <f aca="false">IF(AND(K126&lt;70,I126="Low"),"At Risk","Stable")</f>
        <v>Stable</v>
      </c>
      <c r="X126" s="8" t="str">
        <f aca="false">IF(AND(K126&lt;75,I126="Low",J126="Bronze"),"Priority Followup","No Action")</f>
        <v>No Action</v>
      </c>
    </row>
    <row r="127" customFormat="false" ht="15" hidden="false" customHeight="false" outlineLevel="0" collapsed="false">
      <c r="A127" s="3" t="n">
        <v>125</v>
      </c>
      <c r="B127" s="3" t="n">
        <v>25</v>
      </c>
      <c r="C127" s="3" t="s">
        <v>17</v>
      </c>
      <c r="D127" s="3" t="s">
        <v>12</v>
      </c>
      <c r="E127" s="3" t="n">
        <v>60328</v>
      </c>
      <c r="F127" s="3" t="n">
        <v>5</v>
      </c>
      <c r="G127" s="3" t="n">
        <v>8</v>
      </c>
      <c r="H127" s="3" t="n">
        <v>1</v>
      </c>
      <c r="I127" s="3" t="s">
        <v>13</v>
      </c>
      <c r="J127" s="3" t="s">
        <v>19</v>
      </c>
      <c r="K127" s="3" t="n">
        <v>79.87</v>
      </c>
      <c r="L127" s="7" t="str">
        <f aca="false">IF(B127&lt;25,"Gen Z",IF(B127&lt;40,"Millennial",IF(B127&lt;55,"Gen X","Baby Boomer")))</f>
        <v>Millennial</v>
      </c>
      <c r="M127" s="7" t="str">
        <f aca="false">IF(E127&lt;50000,"Low Income",IF(E127&lt;80000,"Middle Income",IF(E127&lt;100000,"Upper Middle","High Income")))</f>
        <v>Middle Income</v>
      </c>
      <c r="N127" s="7" t="str">
        <f aca="false">IF(F127&lt;=3,"Poor",IF(F127&lt;=6,"Average",IF(F127&lt;=8,"Good","Excellent")))</f>
        <v>Average</v>
      </c>
      <c r="O127" s="7" t="str">
        <f aca="false">IF(G127&lt;=3,"Poor",IF(G127&lt;=6,"Average",IF(G127&lt;=8,"Good","Excellent")))</f>
        <v>Good</v>
      </c>
      <c r="P127" s="7" t="str">
        <f aca="false">IF(H127&lt;=5,"Low Frequency",IF(H127&lt;=10,"Moderate",IF(H127&lt;=15,"High","Very High")))</f>
        <v>Low Frequency</v>
      </c>
      <c r="Q127" s="7" t="str">
        <f aca="false">IF(K127&gt;=90,"Highly Satisfied",IF(K127&gt;=75,"Satisfied",IF(K127&gt;=60,"Neutral","Dissatisfied")))</f>
        <v>Satisfied</v>
      </c>
      <c r="R127" s="7" t="str">
        <f aca="false">UPPER(LEFT(TRIM(J127),1))&amp;LOWER(MID(TRIM(J127),2,100))</f>
        <v>Silver</v>
      </c>
      <c r="S127" s="7" t="str">
        <f aca="false">IF(I127="High","Positive",IF(I127="Medium","Neutral","Negative"))</f>
        <v>Negative</v>
      </c>
      <c r="T127" s="7" t="str">
        <f aca="false">IF(AND(E127&gt;=80000,H127&gt;=15),"Premium",IF(AND(E127&gt;=50000,H127&gt;=10),"Standard","Basic"))</f>
        <v>Basic</v>
      </c>
      <c r="U127" s="7" t="str">
        <f aca="false">IF(AND(F127&gt;=7,G127&gt;=7),"High Quality Experience","Review Needed")</f>
        <v>Review Needed</v>
      </c>
      <c r="V127" s="7" t="str">
        <f aca="false">IF(H127&gt;=10,"Repeat Buyer","Occasional Buyer")</f>
        <v>Occasional Buyer</v>
      </c>
      <c r="W127" s="7" t="str">
        <f aca="false">IF(AND(K127&lt;70,I127="Low"),"At Risk","Stable")</f>
        <v>Stable</v>
      </c>
      <c r="X127" s="7" t="str">
        <f aca="false">IF(AND(K127&lt;75,I127="Low",J127="Bronze"),"Priority Followup","No Action")</f>
        <v>No Action</v>
      </c>
    </row>
    <row r="128" customFormat="false" ht="15" hidden="false" customHeight="false" outlineLevel="0" collapsed="false">
      <c r="A128" s="2" t="n">
        <v>126</v>
      </c>
      <c r="B128" s="2" t="n">
        <v>29</v>
      </c>
      <c r="C128" s="2" t="s">
        <v>17</v>
      </c>
      <c r="D128" s="2" t="s">
        <v>20</v>
      </c>
      <c r="E128" s="2" t="n">
        <v>91303</v>
      </c>
      <c r="F128" s="2" t="n">
        <v>6</v>
      </c>
      <c r="G128" s="2" t="n">
        <v>9</v>
      </c>
      <c r="H128" s="2" t="n">
        <v>10</v>
      </c>
      <c r="I128" s="2" t="s">
        <v>21</v>
      </c>
      <c r="J128" s="2" t="s">
        <v>16</v>
      </c>
      <c r="K128" s="2" t="n">
        <v>100</v>
      </c>
      <c r="L128" s="8" t="str">
        <f aca="false">IF(B128&lt;25,"Gen Z",IF(B128&lt;40,"Millennial",IF(B128&lt;55,"Gen X","Baby Boomer")))</f>
        <v>Millennial</v>
      </c>
      <c r="M128" s="8" t="str">
        <f aca="false">IF(E128&lt;50000,"Low Income",IF(E128&lt;80000,"Middle Income",IF(E128&lt;100000,"Upper Middle","High Income")))</f>
        <v>Upper Middle</v>
      </c>
      <c r="N128" s="8" t="str">
        <f aca="false">IF(F128&lt;=3,"Poor",IF(F128&lt;=6,"Average",IF(F128&lt;=8,"Good","Excellent")))</f>
        <v>Average</v>
      </c>
      <c r="O128" s="8" t="str">
        <f aca="false">IF(G128&lt;=3,"Poor",IF(G128&lt;=6,"Average",IF(G128&lt;=8,"Good","Excellent")))</f>
        <v>Excellent</v>
      </c>
      <c r="P128" s="8" t="str">
        <f aca="false">IF(H128&lt;=5,"Low Frequency",IF(H128&lt;=10,"Moderate",IF(H128&lt;=15,"High","Very High")))</f>
        <v>Moderate</v>
      </c>
      <c r="Q128" s="8" t="str">
        <f aca="false">IF(K128&gt;=90,"Highly Satisfied",IF(K128&gt;=75,"Satisfied",IF(K128&gt;=60,"Neutral","Dissatisfied")))</f>
        <v>Highly Satisfied</v>
      </c>
      <c r="R128" s="8" t="str">
        <f aca="false">UPPER(LEFT(TRIM(J128),1))&amp;LOWER(MID(TRIM(J128),2,100))</f>
        <v>Gold</v>
      </c>
      <c r="S128" s="8" t="str">
        <f aca="false">IF(I128="High","Positive",IF(I128="Medium","Neutral","Negative"))</f>
        <v>Positive</v>
      </c>
      <c r="T128" s="8" t="str">
        <f aca="false">IF(AND(E128&gt;=80000,H128&gt;=15),"Premium",IF(AND(E128&gt;=50000,H128&gt;=10),"Standard","Basic"))</f>
        <v>Standard</v>
      </c>
      <c r="U128" s="8" t="str">
        <f aca="false">IF(AND(F128&gt;=7,G128&gt;=7),"High Quality Experience","Review Needed")</f>
        <v>Review Needed</v>
      </c>
      <c r="V128" s="8" t="str">
        <f aca="false">IF(H128&gt;=10,"Repeat Buyer","Occasional Buyer")</f>
        <v>Repeat Buyer</v>
      </c>
      <c r="W128" s="8" t="str">
        <f aca="false">IF(AND(K128&lt;70,I128="Low"),"At Risk","Stable")</f>
        <v>Stable</v>
      </c>
      <c r="X128" s="8" t="str">
        <f aca="false">IF(AND(K128&lt;75,I128="Low",J128="Bronze"),"Priority Followup","No Action")</f>
        <v>No Action</v>
      </c>
    </row>
    <row r="129" customFormat="false" ht="15" hidden="false" customHeight="false" outlineLevel="0" collapsed="false">
      <c r="A129" s="3" t="n">
        <v>127</v>
      </c>
      <c r="B129" s="3" t="n">
        <v>51</v>
      </c>
      <c r="C129" s="3" t="s">
        <v>17</v>
      </c>
      <c r="D129" s="3" t="s">
        <v>23</v>
      </c>
      <c r="E129" s="3" t="n">
        <v>52193</v>
      </c>
      <c r="F129" s="3" t="n">
        <v>3</v>
      </c>
      <c r="G129" s="3" t="n">
        <v>3</v>
      </c>
      <c r="H129" s="3" t="n">
        <v>9</v>
      </c>
      <c r="I129" s="3" t="s">
        <v>21</v>
      </c>
      <c r="J129" s="3" t="s">
        <v>19</v>
      </c>
      <c r="K129" s="3" t="n">
        <v>68.52</v>
      </c>
      <c r="L129" s="7" t="str">
        <f aca="false">IF(B129&lt;25,"Gen Z",IF(B129&lt;40,"Millennial",IF(B129&lt;55,"Gen X","Baby Boomer")))</f>
        <v>Gen X</v>
      </c>
      <c r="M129" s="7" t="str">
        <f aca="false">IF(E129&lt;50000,"Low Income",IF(E129&lt;80000,"Middle Income",IF(E129&lt;100000,"Upper Middle","High Income")))</f>
        <v>Middle Income</v>
      </c>
      <c r="N129" s="7" t="str">
        <f aca="false">IF(F129&lt;=3,"Poor",IF(F129&lt;=6,"Average",IF(F129&lt;=8,"Good","Excellent")))</f>
        <v>Poor</v>
      </c>
      <c r="O129" s="7" t="str">
        <f aca="false">IF(G129&lt;=3,"Poor",IF(G129&lt;=6,"Average",IF(G129&lt;=8,"Good","Excellent")))</f>
        <v>Poor</v>
      </c>
      <c r="P129" s="7" t="str">
        <f aca="false">IF(H129&lt;=5,"Low Frequency",IF(H129&lt;=10,"Moderate",IF(H129&lt;=15,"High","Very High")))</f>
        <v>Moderate</v>
      </c>
      <c r="Q129" s="7" t="str">
        <f aca="false">IF(K129&gt;=90,"Highly Satisfied",IF(K129&gt;=75,"Satisfied",IF(K129&gt;=60,"Neutral","Dissatisfied")))</f>
        <v>Neutral</v>
      </c>
      <c r="R129" s="7" t="str">
        <f aca="false">UPPER(LEFT(TRIM(J129),1))&amp;LOWER(MID(TRIM(J129),2,100))</f>
        <v>Silver</v>
      </c>
      <c r="S129" s="7" t="str">
        <f aca="false">IF(I129="High","Positive",IF(I129="Medium","Neutral","Negative"))</f>
        <v>Positive</v>
      </c>
      <c r="T129" s="7" t="str">
        <f aca="false">IF(AND(E129&gt;=80000,H129&gt;=15),"Premium",IF(AND(E129&gt;=50000,H129&gt;=10),"Standard","Basic"))</f>
        <v>Basic</v>
      </c>
      <c r="U129" s="7" t="str">
        <f aca="false">IF(AND(F129&gt;=7,G129&gt;=7),"High Quality Experience","Review Needed")</f>
        <v>Review Needed</v>
      </c>
      <c r="V129" s="7" t="str">
        <f aca="false">IF(H129&gt;=10,"Repeat Buyer","Occasional Buyer")</f>
        <v>Occasional Buyer</v>
      </c>
      <c r="W129" s="7" t="str">
        <f aca="false">IF(AND(K129&lt;70,I129="Low"),"At Risk","Stable")</f>
        <v>Stable</v>
      </c>
      <c r="X129" s="7" t="str">
        <f aca="false">IF(AND(K129&lt;75,I129="Low",J129="Bronze"),"Priority Followup","No Action")</f>
        <v>No Action</v>
      </c>
    </row>
    <row r="130" customFormat="false" ht="15" hidden="false" customHeight="false" outlineLevel="0" collapsed="false">
      <c r="A130" s="2" t="n">
        <v>128</v>
      </c>
      <c r="B130" s="2" t="n">
        <v>50</v>
      </c>
      <c r="C130" s="2" t="s">
        <v>11</v>
      </c>
      <c r="D130" s="2" t="s">
        <v>23</v>
      </c>
      <c r="E130" s="2" t="n">
        <v>72818</v>
      </c>
      <c r="F130" s="2" t="n">
        <v>9</v>
      </c>
      <c r="G130" s="2" t="n">
        <v>9</v>
      </c>
      <c r="H130" s="2" t="n">
        <v>14</v>
      </c>
      <c r="I130" s="2" t="s">
        <v>13</v>
      </c>
      <c r="J130" s="2" t="s">
        <v>19</v>
      </c>
      <c r="K130" s="2" t="n">
        <v>100</v>
      </c>
      <c r="L130" s="8" t="str">
        <f aca="false">IF(B130&lt;25,"Gen Z",IF(B130&lt;40,"Millennial",IF(B130&lt;55,"Gen X","Baby Boomer")))</f>
        <v>Gen X</v>
      </c>
      <c r="M130" s="8" t="str">
        <f aca="false">IF(E130&lt;50000,"Low Income",IF(E130&lt;80000,"Middle Income",IF(E130&lt;100000,"Upper Middle","High Income")))</f>
        <v>Middle Income</v>
      </c>
      <c r="N130" s="8" t="str">
        <f aca="false">IF(F130&lt;=3,"Poor",IF(F130&lt;=6,"Average",IF(F130&lt;=8,"Good","Excellent")))</f>
        <v>Excellent</v>
      </c>
      <c r="O130" s="8" t="str">
        <f aca="false">IF(G130&lt;=3,"Poor",IF(G130&lt;=6,"Average",IF(G130&lt;=8,"Good","Excellent")))</f>
        <v>Excellent</v>
      </c>
      <c r="P130" s="8" t="str">
        <f aca="false">IF(H130&lt;=5,"Low Frequency",IF(H130&lt;=10,"Moderate",IF(H130&lt;=15,"High","Very High")))</f>
        <v>High</v>
      </c>
      <c r="Q130" s="8" t="str">
        <f aca="false">IF(K130&gt;=90,"Highly Satisfied",IF(K130&gt;=75,"Satisfied",IF(K130&gt;=60,"Neutral","Dissatisfied")))</f>
        <v>Highly Satisfied</v>
      </c>
      <c r="R130" s="8" t="str">
        <f aca="false">UPPER(LEFT(TRIM(J130),1))&amp;LOWER(MID(TRIM(J130),2,100))</f>
        <v>Silver</v>
      </c>
      <c r="S130" s="8" t="str">
        <f aca="false">IF(I130="High","Positive",IF(I130="Medium","Neutral","Negative"))</f>
        <v>Negative</v>
      </c>
      <c r="T130" s="8" t="str">
        <f aca="false">IF(AND(E130&gt;=80000,H130&gt;=15),"Premium",IF(AND(E130&gt;=50000,H130&gt;=10),"Standard","Basic"))</f>
        <v>Standard</v>
      </c>
      <c r="U130" s="8" t="str">
        <f aca="false">IF(AND(F130&gt;=7,G130&gt;=7),"High Quality Experience","Review Needed")</f>
        <v>High Quality Experience</v>
      </c>
      <c r="V130" s="8" t="str">
        <f aca="false">IF(H130&gt;=10,"Repeat Buyer","Occasional Buyer")</f>
        <v>Repeat Buyer</v>
      </c>
      <c r="W130" s="8" t="str">
        <f aca="false">IF(AND(K130&lt;70,I130="Low"),"At Risk","Stable")</f>
        <v>Stable</v>
      </c>
      <c r="X130" s="8" t="str">
        <f aca="false">IF(AND(K130&lt;75,I130="Low",J130="Bronze"),"Priority Followup","No Action")</f>
        <v>No Action</v>
      </c>
    </row>
    <row r="131" customFormat="false" ht="15" hidden="false" customHeight="false" outlineLevel="0" collapsed="false">
      <c r="A131" s="3" t="n">
        <v>129</v>
      </c>
      <c r="B131" s="3" t="n">
        <v>65</v>
      </c>
      <c r="C131" s="3" t="s">
        <v>17</v>
      </c>
      <c r="D131" s="3" t="s">
        <v>22</v>
      </c>
      <c r="E131" s="3" t="n">
        <v>73862</v>
      </c>
      <c r="F131" s="3" t="n">
        <v>7</v>
      </c>
      <c r="G131" s="3" t="n">
        <v>6</v>
      </c>
      <c r="H131" s="3" t="n">
        <v>13</v>
      </c>
      <c r="I131" s="3" t="s">
        <v>15</v>
      </c>
      <c r="J131" s="3" t="s">
        <v>16</v>
      </c>
      <c r="K131" s="3" t="n">
        <v>100</v>
      </c>
      <c r="L131" s="7" t="str">
        <f aca="false">IF(B131&lt;25,"Gen Z",IF(B131&lt;40,"Millennial",IF(B131&lt;55,"Gen X","Baby Boomer")))</f>
        <v>Baby Boomer</v>
      </c>
      <c r="M131" s="7" t="str">
        <f aca="false">IF(E131&lt;50000,"Low Income",IF(E131&lt;80000,"Middle Income",IF(E131&lt;100000,"Upper Middle","High Income")))</f>
        <v>Middle Income</v>
      </c>
      <c r="N131" s="7" t="str">
        <f aca="false">IF(F131&lt;=3,"Poor",IF(F131&lt;=6,"Average",IF(F131&lt;=8,"Good","Excellent")))</f>
        <v>Good</v>
      </c>
      <c r="O131" s="7" t="str">
        <f aca="false">IF(G131&lt;=3,"Poor",IF(G131&lt;=6,"Average",IF(G131&lt;=8,"Good","Excellent")))</f>
        <v>Average</v>
      </c>
      <c r="P131" s="7" t="str">
        <f aca="false">IF(H131&lt;=5,"Low Frequency",IF(H131&lt;=10,"Moderate",IF(H131&lt;=15,"High","Very High")))</f>
        <v>High</v>
      </c>
      <c r="Q131" s="7" t="str">
        <f aca="false">IF(K131&gt;=90,"Highly Satisfied",IF(K131&gt;=75,"Satisfied",IF(K131&gt;=60,"Neutral","Dissatisfied")))</f>
        <v>Highly Satisfied</v>
      </c>
      <c r="R131" s="7" t="str">
        <f aca="false">UPPER(LEFT(TRIM(J131),1))&amp;LOWER(MID(TRIM(J131),2,100))</f>
        <v>Gold</v>
      </c>
      <c r="S131" s="7" t="str">
        <f aca="false">IF(I131="High","Positive",IF(I131="Medium","Neutral","Negative"))</f>
        <v>Neutral</v>
      </c>
      <c r="T131" s="7" t="str">
        <f aca="false">IF(AND(E131&gt;=80000,H131&gt;=15),"Premium",IF(AND(E131&gt;=50000,H131&gt;=10),"Standard","Basic"))</f>
        <v>Standard</v>
      </c>
      <c r="U131" s="7" t="str">
        <f aca="false">IF(AND(F131&gt;=7,G131&gt;=7),"High Quality Experience","Review Needed")</f>
        <v>Review Needed</v>
      </c>
      <c r="V131" s="7" t="str">
        <f aca="false">IF(H131&gt;=10,"Repeat Buyer","Occasional Buyer")</f>
        <v>Repeat Buyer</v>
      </c>
      <c r="W131" s="7" t="str">
        <f aca="false">IF(AND(K131&lt;70,I131="Low"),"At Risk","Stable")</f>
        <v>Stable</v>
      </c>
      <c r="X131" s="7" t="str">
        <f aca="false">IF(AND(K131&lt;75,I131="Low",J131="Bronze"),"Priority Followup","No Action")</f>
        <v>No Action</v>
      </c>
    </row>
    <row r="132" customFormat="false" ht="15" hidden="false" customHeight="false" outlineLevel="0" collapsed="false">
      <c r="A132" s="2" t="n">
        <v>130</v>
      </c>
      <c r="B132" s="2" t="n">
        <v>40</v>
      </c>
      <c r="C132" s="2" t="s">
        <v>11</v>
      </c>
      <c r="D132" s="2" t="s">
        <v>20</v>
      </c>
      <c r="E132" s="2" t="n">
        <v>61460</v>
      </c>
      <c r="F132" s="2" t="n">
        <v>4</v>
      </c>
      <c r="G132" s="2" t="n">
        <v>10</v>
      </c>
      <c r="H132" s="2" t="n">
        <v>8</v>
      </c>
      <c r="I132" s="2" t="s">
        <v>13</v>
      </c>
      <c r="J132" s="2" t="s">
        <v>14</v>
      </c>
      <c r="K132" s="2" t="n">
        <v>85.23</v>
      </c>
      <c r="L132" s="8" t="str">
        <f aca="false">IF(B132&lt;25,"Gen Z",IF(B132&lt;40,"Millennial",IF(B132&lt;55,"Gen X","Baby Boomer")))</f>
        <v>Gen X</v>
      </c>
      <c r="M132" s="8" t="str">
        <f aca="false">IF(E132&lt;50000,"Low Income",IF(E132&lt;80000,"Middle Income",IF(E132&lt;100000,"Upper Middle","High Income")))</f>
        <v>Middle Income</v>
      </c>
      <c r="N132" s="8" t="str">
        <f aca="false">IF(F132&lt;=3,"Poor",IF(F132&lt;=6,"Average",IF(F132&lt;=8,"Good","Excellent")))</f>
        <v>Average</v>
      </c>
      <c r="O132" s="8" t="str">
        <f aca="false">IF(G132&lt;=3,"Poor",IF(G132&lt;=6,"Average",IF(G132&lt;=8,"Good","Excellent")))</f>
        <v>Excellent</v>
      </c>
      <c r="P132" s="8" t="str">
        <f aca="false">IF(H132&lt;=5,"Low Frequency",IF(H132&lt;=10,"Moderate",IF(H132&lt;=15,"High","Very High")))</f>
        <v>Moderate</v>
      </c>
      <c r="Q132" s="8" t="str">
        <f aca="false">IF(K132&gt;=90,"Highly Satisfied",IF(K132&gt;=75,"Satisfied",IF(K132&gt;=60,"Neutral","Dissatisfied")))</f>
        <v>Satisfied</v>
      </c>
      <c r="R132" s="8" t="str">
        <f aca="false">UPPER(LEFT(TRIM(J132),1))&amp;LOWER(MID(TRIM(J132),2,100))</f>
        <v>Bronze</v>
      </c>
      <c r="S132" s="8" t="str">
        <f aca="false">IF(I132="High","Positive",IF(I132="Medium","Neutral","Negative"))</f>
        <v>Negative</v>
      </c>
      <c r="T132" s="8" t="str">
        <f aca="false">IF(AND(E132&gt;=80000,H132&gt;=15),"Premium",IF(AND(E132&gt;=50000,H132&gt;=10),"Standard","Basic"))</f>
        <v>Basic</v>
      </c>
      <c r="U132" s="8" t="str">
        <f aca="false">IF(AND(F132&gt;=7,G132&gt;=7),"High Quality Experience","Review Needed")</f>
        <v>Review Needed</v>
      </c>
      <c r="V132" s="8" t="str">
        <f aca="false">IF(H132&gt;=10,"Repeat Buyer","Occasional Buyer")</f>
        <v>Occasional Buyer</v>
      </c>
      <c r="W132" s="8" t="str">
        <f aca="false">IF(AND(K132&lt;70,I132="Low"),"At Risk","Stable")</f>
        <v>Stable</v>
      </c>
      <c r="X132" s="8" t="str">
        <f aca="false">IF(AND(K132&lt;75,I132="Low",J132="Bronze"),"Priority Followup","No Action")</f>
        <v>No Action</v>
      </c>
    </row>
    <row r="133" customFormat="false" ht="15" hidden="false" customHeight="false" outlineLevel="0" collapsed="false">
      <c r="A133" s="3" t="n">
        <v>131</v>
      </c>
      <c r="B133" s="3" t="n">
        <v>41</v>
      </c>
      <c r="C133" s="3" t="s">
        <v>11</v>
      </c>
      <c r="D133" s="3" t="s">
        <v>20</v>
      </c>
      <c r="E133" s="3" t="n">
        <v>40368</v>
      </c>
      <c r="F133" s="3" t="n">
        <v>3</v>
      </c>
      <c r="G133" s="3" t="n">
        <v>7</v>
      </c>
      <c r="H133" s="3" t="n">
        <v>8</v>
      </c>
      <c r="I133" s="3" t="s">
        <v>15</v>
      </c>
      <c r="J133" s="3" t="s">
        <v>14</v>
      </c>
      <c r="K133" s="3" t="n">
        <v>72.15</v>
      </c>
      <c r="L133" s="7" t="str">
        <f aca="false">IF(B133&lt;25,"Gen Z",IF(B133&lt;40,"Millennial",IF(B133&lt;55,"Gen X","Baby Boomer")))</f>
        <v>Gen X</v>
      </c>
      <c r="M133" s="7" t="str">
        <f aca="false">IF(E133&lt;50000,"Low Income",IF(E133&lt;80000,"Middle Income",IF(E133&lt;100000,"Upper Middle","High Income")))</f>
        <v>Low Income</v>
      </c>
      <c r="N133" s="7" t="str">
        <f aca="false">IF(F133&lt;=3,"Poor",IF(F133&lt;=6,"Average",IF(F133&lt;=8,"Good","Excellent")))</f>
        <v>Poor</v>
      </c>
      <c r="O133" s="7" t="str">
        <f aca="false">IF(G133&lt;=3,"Poor",IF(G133&lt;=6,"Average",IF(G133&lt;=8,"Good","Excellent")))</f>
        <v>Good</v>
      </c>
      <c r="P133" s="7" t="str">
        <f aca="false">IF(H133&lt;=5,"Low Frequency",IF(H133&lt;=10,"Moderate",IF(H133&lt;=15,"High","Very High")))</f>
        <v>Moderate</v>
      </c>
      <c r="Q133" s="7" t="str">
        <f aca="false">IF(K133&gt;=90,"Highly Satisfied",IF(K133&gt;=75,"Satisfied",IF(K133&gt;=60,"Neutral","Dissatisfied")))</f>
        <v>Neutral</v>
      </c>
      <c r="R133" s="7" t="str">
        <f aca="false">UPPER(LEFT(TRIM(J133),1))&amp;LOWER(MID(TRIM(J133),2,100))</f>
        <v>Bronze</v>
      </c>
      <c r="S133" s="7" t="str">
        <f aca="false">IF(I133="High","Positive",IF(I133="Medium","Neutral","Negative"))</f>
        <v>Neutral</v>
      </c>
      <c r="T133" s="7" t="str">
        <f aca="false">IF(AND(E133&gt;=80000,H133&gt;=15),"Premium",IF(AND(E133&gt;=50000,H133&gt;=10),"Standard","Basic"))</f>
        <v>Basic</v>
      </c>
      <c r="U133" s="7" t="str">
        <f aca="false">IF(AND(F133&gt;=7,G133&gt;=7),"High Quality Experience","Review Needed")</f>
        <v>Review Needed</v>
      </c>
      <c r="V133" s="7" t="str">
        <f aca="false">IF(H133&gt;=10,"Repeat Buyer","Occasional Buyer")</f>
        <v>Occasional Buyer</v>
      </c>
      <c r="W133" s="7" t="str">
        <f aca="false">IF(AND(K133&lt;70,I133="Low"),"At Risk","Stable")</f>
        <v>Stable</v>
      </c>
      <c r="X133" s="7" t="str">
        <f aca="false">IF(AND(K133&lt;75,I133="Low",J133="Bronze"),"Priority Followup","No Action")</f>
        <v>No Action</v>
      </c>
    </row>
    <row r="134" customFormat="false" ht="15" hidden="false" customHeight="false" outlineLevel="0" collapsed="false">
      <c r="A134" s="2" t="n">
        <v>132</v>
      </c>
      <c r="B134" s="2" t="n">
        <v>54</v>
      </c>
      <c r="C134" s="2" t="s">
        <v>11</v>
      </c>
      <c r="D134" s="2" t="s">
        <v>23</v>
      </c>
      <c r="E134" s="2" t="n">
        <v>95265</v>
      </c>
      <c r="F134" s="2" t="n">
        <v>10</v>
      </c>
      <c r="G134" s="2" t="n">
        <v>1</v>
      </c>
      <c r="H134" s="2" t="n">
        <v>5</v>
      </c>
      <c r="I134" s="2" t="s">
        <v>21</v>
      </c>
      <c r="J134" s="2" t="s">
        <v>14</v>
      </c>
      <c r="K134" s="2" t="n">
        <v>96.28</v>
      </c>
      <c r="L134" s="8" t="str">
        <f aca="false">IF(B134&lt;25,"Gen Z",IF(B134&lt;40,"Millennial",IF(B134&lt;55,"Gen X","Baby Boomer")))</f>
        <v>Gen X</v>
      </c>
      <c r="M134" s="8" t="str">
        <f aca="false">IF(E134&lt;50000,"Low Income",IF(E134&lt;80000,"Middle Income",IF(E134&lt;100000,"Upper Middle","High Income")))</f>
        <v>Upper Middle</v>
      </c>
      <c r="N134" s="8" t="str">
        <f aca="false">IF(F134&lt;=3,"Poor",IF(F134&lt;=6,"Average",IF(F134&lt;=8,"Good","Excellent")))</f>
        <v>Excellent</v>
      </c>
      <c r="O134" s="8" t="str">
        <f aca="false">IF(G134&lt;=3,"Poor",IF(G134&lt;=6,"Average",IF(G134&lt;=8,"Good","Excellent")))</f>
        <v>Poor</v>
      </c>
      <c r="P134" s="8" t="str">
        <f aca="false">IF(H134&lt;=5,"Low Frequency",IF(H134&lt;=10,"Moderate",IF(H134&lt;=15,"High","Very High")))</f>
        <v>Low Frequency</v>
      </c>
      <c r="Q134" s="8" t="str">
        <f aca="false">IF(K134&gt;=90,"Highly Satisfied",IF(K134&gt;=75,"Satisfied",IF(K134&gt;=60,"Neutral","Dissatisfied")))</f>
        <v>Highly Satisfied</v>
      </c>
      <c r="R134" s="8" t="str">
        <f aca="false">UPPER(LEFT(TRIM(J134),1))&amp;LOWER(MID(TRIM(J134),2,100))</f>
        <v>Bronze</v>
      </c>
      <c r="S134" s="8" t="str">
        <f aca="false">IF(I134="High","Positive",IF(I134="Medium","Neutral","Negative"))</f>
        <v>Positive</v>
      </c>
      <c r="T134" s="8" t="str">
        <f aca="false">IF(AND(E134&gt;=80000,H134&gt;=15),"Premium",IF(AND(E134&gt;=50000,H134&gt;=10),"Standard","Basic"))</f>
        <v>Basic</v>
      </c>
      <c r="U134" s="8" t="str">
        <f aca="false">IF(AND(F134&gt;=7,G134&gt;=7),"High Quality Experience","Review Needed")</f>
        <v>Review Needed</v>
      </c>
      <c r="V134" s="8" t="str">
        <f aca="false">IF(H134&gt;=10,"Repeat Buyer","Occasional Buyer")</f>
        <v>Occasional Buyer</v>
      </c>
      <c r="W134" s="8" t="str">
        <f aca="false">IF(AND(K134&lt;70,I134="Low"),"At Risk","Stable")</f>
        <v>Stable</v>
      </c>
      <c r="X134" s="8" t="str">
        <f aca="false">IF(AND(K134&lt;75,I134="Low",J134="Bronze"),"Priority Followup","No Action")</f>
        <v>No Action</v>
      </c>
    </row>
    <row r="135" customFormat="false" ht="15" hidden="false" customHeight="false" outlineLevel="0" collapsed="false">
      <c r="A135" s="3" t="n">
        <v>133</v>
      </c>
      <c r="B135" s="3" t="n">
        <v>52</v>
      </c>
      <c r="C135" s="3" t="s">
        <v>11</v>
      </c>
      <c r="D135" s="3" t="s">
        <v>23</v>
      </c>
      <c r="E135" s="3" t="n">
        <v>33910</v>
      </c>
      <c r="F135" s="3" t="n">
        <v>7</v>
      </c>
      <c r="G135" s="3" t="n">
        <v>9</v>
      </c>
      <c r="H135" s="3" t="n">
        <v>16</v>
      </c>
      <c r="I135" s="3" t="s">
        <v>13</v>
      </c>
      <c r="J135" s="3" t="s">
        <v>19</v>
      </c>
      <c r="K135" s="3" t="n">
        <v>100</v>
      </c>
      <c r="L135" s="7" t="str">
        <f aca="false">IF(B135&lt;25,"Gen Z",IF(B135&lt;40,"Millennial",IF(B135&lt;55,"Gen X","Baby Boomer")))</f>
        <v>Gen X</v>
      </c>
      <c r="M135" s="7" t="str">
        <f aca="false">IF(E135&lt;50000,"Low Income",IF(E135&lt;80000,"Middle Income",IF(E135&lt;100000,"Upper Middle","High Income")))</f>
        <v>Low Income</v>
      </c>
      <c r="N135" s="7" t="str">
        <f aca="false">IF(F135&lt;=3,"Poor",IF(F135&lt;=6,"Average",IF(F135&lt;=8,"Good","Excellent")))</f>
        <v>Good</v>
      </c>
      <c r="O135" s="7" t="str">
        <f aca="false">IF(G135&lt;=3,"Poor",IF(G135&lt;=6,"Average",IF(G135&lt;=8,"Good","Excellent")))</f>
        <v>Excellent</v>
      </c>
      <c r="P135" s="7" t="str">
        <f aca="false">IF(H135&lt;=5,"Low Frequency",IF(H135&lt;=10,"Moderate",IF(H135&lt;=15,"High","Very High")))</f>
        <v>Very High</v>
      </c>
      <c r="Q135" s="7" t="str">
        <f aca="false">IF(K135&gt;=90,"Highly Satisfied",IF(K135&gt;=75,"Satisfied",IF(K135&gt;=60,"Neutral","Dissatisfied")))</f>
        <v>Highly Satisfied</v>
      </c>
      <c r="R135" s="7" t="str">
        <f aca="false">UPPER(LEFT(TRIM(J135),1))&amp;LOWER(MID(TRIM(J135),2,100))</f>
        <v>Silver</v>
      </c>
      <c r="S135" s="7" t="str">
        <f aca="false">IF(I135="High","Positive",IF(I135="Medium","Neutral","Negative"))</f>
        <v>Negative</v>
      </c>
      <c r="T135" s="7" t="str">
        <f aca="false">IF(AND(E135&gt;=80000,H135&gt;=15),"Premium",IF(AND(E135&gt;=50000,H135&gt;=10),"Standard","Basic"))</f>
        <v>Basic</v>
      </c>
      <c r="U135" s="7" t="str">
        <f aca="false">IF(AND(F135&gt;=7,G135&gt;=7),"High Quality Experience","Review Needed")</f>
        <v>High Quality Experience</v>
      </c>
      <c r="V135" s="7" t="str">
        <f aca="false">IF(H135&gt;=10,"Repeat Buyer","Occasional Buyer")</f>
        <v>Repeat Buyer</v>
      </c>
      <c r="W135" s="7" t="str">
        <f aca="false">IF(AND(K135&lt;70,I135="Low"),"At Risk","Stable")</f>
        <v>Stable</v>
      </c>
      <c r="X135" s="7" t="str">
        <f aca="false">IF(AND(K135&lt;75,I135="Low",J135="Bronze"),"Priority Followup","No Action")</f>
        <v>No Action</v>
      </c>
    </row>
    <row r="136" customFormat="false" ht="15" hidden="false" customHeight="false" outlineLevel="0" collapsed="false">
      <c r="A136" s="2" t="n">
        <v>134</v>
      </c>
      <c r="B136" s="2" t="n">
        <v>61</v>
      </c>
      <c r="C136" s="2" t="s">
        <v>11</v>
      </c>
      <c r="D136" s="2" t="s">
        <v>20</v>
      </c>
      <c r="E136" s="2" t="n">
        <v>112935</v>
      </c>
      <c r="F136" s="2" t="n">
        <v>5</v>
      </c>
      <c r="G136" s="2" t="n">
        <v>3</v>
      </c>
      <c r="H136" s="2" t="n">
        <v>19</v>
      </c>
      <c r="I136" s="2" t="s">
        <v>15</v>
      </c>
      <c r="J136" s="2" t="s">
        <v>14</v>
      </c>
      <c r="K136" s="2" t="n">
        <v>89.43</v>
      </c>
      <c r="L136" s="8" t="str">
        <f aca="false">IF(B136&lt;25,"Gen Z",IF(B136&lt;40,"Millennial",IF(B136&lt;55,"Gen X","Baby Boomer")))</f>
        <v>Baby Boomer</v>
      </c>
      <c r="M136" s="8" t="str">
        <f aca="false">IF(E136&lt;50000,"Low Income",IF(E136&lt;80000,"Middle Income",IF(E136&lt;100000,"Upper Middle","High Income")))</f>
        <v>High Income</v>
      </c>
      <c r="N136" s="8" t="str">
        <f aca="false">IF(F136&lt;=3,"Poor",IF(F136&lt;=6,"Average",IF(F136&lt;=8,"Good","Excellent")))</f>
        <v>Average</v>
      </c>
      <c r="O136" s="8" t="str">
        <f aca="false">IF(G136&lt;=3,"Poor",IF(G136&lt;=6,"Average",IF(G136&lt;=8,"Good","Excellent")))</f>
        <v>Poor</v>
      </c>
      <c r="P136" s="8" t="str">
        <f aca="false">IF(H136&lt;=5,"Low Frequency",IF(H136&lt;=10,"Moderate",IF(H136&lt;=15,"High","Very High")))</f>
        <v>Very High</v>
      </c>
      <c r="Q136" s="8" t="str">
        <f aca="false">IF(K136&gt;=90,"Highly Satisfied",IF(K136&gt;=75,"Satisfied",IF(K136&gt;=60,"Neutral","Dissatisfied")))</f>
        <v>Satisfied</v>
      </c>
      <c r="R136" s="8" t="str">
        <f aca="false">UPPER(LEFT(TRIM(J136),1))&amp;LOWER(MID(TRIM(J136),2,100))</f>
        <v>Bronze</v>
      </c>
      <c r="S136" s="8" t="str">
        <f aca="false">IF(I136="High","Positive",IF(I136="Medium","Neutral","Negative"))</f>
        <v>Neutral</v>
      </c>
      <c r="T136" s="8" t="str">
        <f aca="false">IF(AND(E136&gt;=80000,H136&gt;=15),"Premium",IF(AND(E136&gt;=50000,H136&gt;=10),"Standard","Basic"))</f>
        <v>Premium</v>
      </c>
      <c r="U136" s="8" t="str">
        <f aca="false">IF(AND(F136&gt;=7,G136&gt;=7),"High Quality Experience","Review Needed")</f>
        <v>Review Needed</v>
      </c>
      <c r="V136" s="8" t="str">
        <f aca="false">IF(H136&gt;=10,"Repeat Buyer","Occasional Buyer")</f>
        <v>Repeat Buyer</v>
      </c>
      <c r="W136" s="8" t="str">
        <f aca="false">IF(AND(K136&lt;70,I136="Low"),"At Risk","Stable")</f>
        <v>Stable</v>
      </c>
      <c r="X136" s="8" t="str">
        <f aca="false">IF(AND(K136&lt;75,I136="Low",J136="Bronze"),"Priority Followup","No Action")</f>
        <v>No Action</v>
      </c>
    </row>
    <row r="137" customFormat="false" ht="15" hidden="false" customHeight="false" outlineLevel="0" collapsed="false">
      <c r="A137" s="3" t="n">
        <v>135</v>
      </c>
      <c r="B137" s="3" t="n">
        <v>57</v>
      </c>
      <c r="C137" s="3" t="s">
        <v>11</v>
      </c>
      <c r="D137" s="3" t="s">
        <v>23</v>
      </c>
      <c r="E137" s="3" t="n">
        <v>77042</v>
      </c>
      <c r="F137" s="3" t="n">
        <v>2</v>
      </c>
      <c r="G137" s="3" t="n">
        <v>2</v>
      </c>
      <c r="H137" s="3" t="n">
        <v>8</v>
      </c>
      <c r="I137" s="3" t="s">
        <v>15</v>
      </c>
      <c r="J137" s="3" t="s">
        <v>16</v>
      </c>
      <c r="K137" s="3" t="n">
        <v>51.15</v>
      </c>
      <c r="L137" s="7" t="str">
        <f aca="false">IF(B137&lt;25,"Gen Z",IF(B137&lt;40,"Millennial",IF(B137&lt;55,"Gen X","Baby Boomer")))</f>
        <v>Baby Boomer</v>
      </c>
      <c r="M137" s="7" t="str">
        <f aca="false">IF(E137&lt;50000,"Low Income",IF(E137&lt;80000,"Middle Income",IF(E137&lt;100000,"Upper Middle","High Income")))</f>
        <v>Middle Income</v>
      </c>
      <c r="N137" s="7" t="str">
        <f aca="false">IF(F137&lt;=3,"Poor",IF(F137&lt;=6,"Average",IF(F137&lt;=8,"Good","Excellent")))</f>
        <v>Poor</v>
      </c>
      <c r="O137" s="7" t="str">
        <f aca="false">IF(G137&lt;=3,"Poor",IF(G137&lt;=6,"Average",IF(G137&lt;=8,"Good","Excellent")))</f>
        <v>Poor</v>
      </c>
      <c r="P137" s="7" t="str">
        <f aca="false">IF(H137&lt;=5,"Low Frequency",IF(H137&lt;=10,"Moderate",IF(H137&lt;=15,"High","Very High")))</f>
        <v>Moderate</v>
      </c>
      <c r="Q137" s="7" t="str">
        <f aca="false">IF(K137&gt;=90,"Highly Satisfied",IF(K137&gt;=75,"Satisfied",IF(K137&gt;=60,"Neutral","Dissatisfied")))</f>
        <v>Dissatisfied</v>
      </c>
      <c r="R137" s="7" t="str">
        <f aca="false">UPPER(LEFT(TRIM(J137),1))&amp;LOWER(MID(TRIM(J137),2,100))</f>
        <v>Gold</v>
      </c>
      <c r="S137" s="7" t="str">
        <f aca="false">IF(I137="High","Positive",IF(I137="Medium","Neutral","Negative"))</f>
        <v>Neutral</v>
      </c>
      <c r="T137" s="7" t="str">
        <f aca="false">IF(AND(E137&gt;=80000,H137&gt;=15),"Premium",IF(AND(E137&gt;=50000,H137&gt;=10),"Standard","Basic"))</f>
        <v>Basic</v>
      </c>
      <c r="U137" s="7" t="str">
        <f aca="false">IF(AND(F137&gt;=7,G137&gt;=7),"High Quality Experience","Review Needed")</f>
        <v>Review Needed</v>
      </c>
      <c r="V137" s="7" t="str">
        <f aca="false">IF(H137&gt;=10,"Repeat Buyer","Occasional Buyer")</f>
        <v>Occasional Buyer</v>
      </c>
      <c r="W137" s="7" t="str">
        <f aca="false">IF(AND(K137&lt;70,I137="Low"),"At Risk","Stable")</f>
        <v>Stable</v>
      </c>
      <c r="X137" s="7" t="str">
        <f aca="false">IF(AND(K137&lt;75,I137="Low",J137="Bronze"),"Priority Followup","No Action")</f>
        <v>No Action</v>
      </c>
    </row>
    <row r="138" customFormat="false" ht="15" hidden="false" customHeight="false" outlineLevel="0" collapsed="false">
      <c r="A138" s="2" t="n">
        <v>136</v>
      </c>
      <c r="B138" s="2" t="n">
        <v>39</v>
      </c>
      <c r="C138" s="2" t="s">
        <v>11</v>
      </c>
      <c r="D138" s="2" t="s">
        <v>18</v>
      </c>
      <c r="E138" s="2" t="n">
        <v>115074</v>
      </c>
      <c r="F138" s="2" t="n">
        <v>6</v>
      </c>
      <c r="G138" s="2" t="n">
        <v>9</v>
      </c>
      <c r="H138" s="2" t="n">
        <v>13</v>
      </c>
      <c r="I138" s="2" t="s">
        <v>21</v>
      </c>
      <c r="J138" s="2" t="s">
        <v>19</v>
      </c>
      <c r="K138" s="2" t="n">
        <v>100</v>
      </c>
      <c r="L138" s="8" t="str">
        <f aca="false">IF(B138&lt;25,"Gen Z",IF(B138&lt;40,"Millennial",IF(B138&lt;55,"Gen X","Baby Boomer")))</f>
        <v>Millennial</v>
      </c>
      <c r="M138" s="8" t="str">
        <f aca="false">IF(E138&lt;50000,"Low Income",IF(E138&lt;80000,"Middle Income",IF(E138&lt;100000,"Upper Middle","High Income")))</f>
        <v>High Income</v>
      </c>
      <c r="N138" s="8" t="str">
        <f aca="false">IF(F138&lt;=3,"Poor",IF(F138&lt;=6,"Average",IF(F138&lt;=8,"Good","Excellent")))</f>
        <v>Average</v>
      </c>
      <c r="O138" s="8" t="str">
        <f aca="false">IF(G138&lt;=3,"Poor",IF(G138&lt;=6,"Average",IF(G138&lt;=8,"Good","Excellent")))</f>
        <v>Excellent</v>
      </c>
      <c r="P138" s="8" t="str">
        <f aca="false">IF(H138&lt;=5,"Low Frequency",IF(H138&lt;=10,"Moderate",IF(H138&lt;=15,"High","Very High")))</f>
        <v>High</v>
      </c>
      <c r="Q138" s="8" t="str">
        <f aca="false">IF(K138&gt;=90,"Highly Satisfied",IF(K138&gt;=75,"Satisfied",IF(K138&gt;=60,"Neutral","Dissatisfied")))</f>
        <v>Highly Satisfied</v>
      </c>
      <c r="R138" s="8" t="str">
        <f aca="false">UPPER(LEFT(TRIM(J138),1))&amp;LOWER(MID(TRIM(J138),2,100))</f>
        <v>Silver</v>
      </c>
      <c r="S138" s="8" t="str">
        <f aca="false">IF(I138="High","Positive",IF(I138="Medium","Neutral","Negative"))</f>
        <v>Positive</v>
      </c>
      <c r="T138" s="8" t="str">
        <f aca="false">IF(AND(E138&gt;=80000,H138&gt;=15),"Premium",IF(AND(E138&gt;=50000,H138&gt;=10),"Standard","Basic"))</f>
        <v>Standard</v>
      </c>
      <c r="U138" s="8" t="str">
        <f aca="false">IF(AND(F138&gt;=7,G138&gt;=7),"High Quality Experience","Review Needed")</f>
        <v>Review Needed</v>
      </c>
      <c r="V138" s="8" t="str">
        <f aca="false">IF(H138&gt;=10,"Repeat Buyer","Occasional Buyer")</f>
        <v>Repeat Buyer</v>
      </c>
      <c r="W138" s="8" t="str">
        <f aca="false">IF(AND(K138&lt;70,I138="Low"),"At Risk","Stable")</f>
        <v>Stable</v>
      </c>
      <c r="X138" s="8" t="str">
        <f aca="false">IF(AND(K138&lt;75,I138="Low",J138="Bronze"),"Priority Followup","No Action")</f>
        <v>No Action</v>
      </c>
    </row>
    <row r="139" customFormat="false" ht="15" hidden="false" customHeight="false" outlineLevel="0" collapsed="false">
      <c r="A139" s="3" t="n">
        <v>137</v>
      </c>
      <c r="B139" s="3" t="n">
        <v>44</v>
      </c>
      <c r="C139" s="3" t="s">
        <v>17</v>
      </c>
      <c r="D139" s="3" t="s">
        <v>23</v>
      </c>
      <c r="E139" s="3" t="n">
        <v>51341</v>
      </c>
      <c r="F139" s="3" t="n">
        <v>3</v>
      </c>
      <c r="G139" s="3" t="n">
        <v>3</v>
      </c>
      <c r="H139" s="3" t="n">
        <v>4</v>
      </c>
      <c r="I139" s="3" t="s">
        <v>21</v>
      </c>
      <c r="J139" s="3" t="s">
        <v>16</v>
      </c>
      <c r="K139" s="3" t="n">
        <v>57.98</v>
      </c>
      <c r="L139" s="7" t="str">
        <f aca="false">IF(B139&lt;25,"Gen Z",IF(B139&lt;40,"Millennial",IF(B139&lt;55,"Gen X","Baby Boomer")))</f>
        <v>Gen X</v>
      </c>
      <c r="M139" s="7" t="str">
        <f aca="false">IF(E139&lt;50000,"Low Income",IF(E139&lt;80000,"Middle Income",IF(E139&lt;100000,"Upper Middle","High Income")))</f>
        <v>Middle Income</v>
      </c>
      <c r="N139" s="7" t="str">
        <f aca="false">IF(F139&lt;=3,"Poor",IF(F139&lt;=6,"Average",IF(F139&lt;=8,"Good","Excellent")))</f>
        <v>Poor</v>
      </c>
      <c r="O139" s="7" t="str">
        <f aca="false">IF(G139&lt;=3,"Poor",IF(G139&lt;=6,"Average",IF(G139&lt;=8,"Good","Excellent")))</f>
        <v>Poor</v>
      </c>
      <c r="P139" s="7" t="str">
        <f aca="false">IF(H139&lt;=5,"Low Frequency",IF(H139&lt;=10,"Moderate",IF(H139&lt;=15,"High","Very High")))</f>
        <v>Low Frequency</v>
      </c>
      <c r="Q139" s="7" t="str">
        <f aca="false">IF(K139&gt;=90,"Highly Satisfied",IF(K139&gt;=75,"Satisfied",IF(K139&gt;=60,"Neutral","Dissatisfied")))</f>
        <v>Dissatisfied</v>
      </c>
      <c r="R139" s="7" t="str">
        <f aca="false">UPPER(LEFT(TRIM(J139),1))&amp;LOWER(MID(TRIM(J139),2,100))</f>
        <v>Gold</v>
      </c>
      <c r="S139" s="7" t="str">
        <f aca="false">IF(I139="High","Positive",IF(I139="Medium","Neutral","Negative"))</f>
        <v>Positive</v>
      </c>
      <c r="T139" s="7" t="str">
        <f aca="false">IF(AND(E139&gt;=80000,H139&gt;=15),"Premium",IF(AND(E139&gt;=50000,H139&gt;=10),"Standard","Basic"))</f>
        <v>Basic</v>
      </c>
      <c r="U139" s="7" t="str">
        <f aca="false">IF(AND(F139&gt;=7,G139&gt;=7),"High Quality Experience","Review Needed")</f>
        <v>Review Needed</v>
      </c>
      <c r="V139" s="7" t="str">
        <f aca="false">IF(H139&gt;=10,"Repeat Buyer","Occasional Buyer")</f>
        <v>Occasional Buyer</v>
      </c>
      <c r="W139" s="7" t="str">
        <f aca="false">IF(AND(K139&lt;70,I139="Low"),"At Risk","Stable")</f>
        <v>Stable</v>
      </c>
      <c r="X139" s="7" t="str">
        <f aca="false">IF(AND(K139&lt;75,I139="Low",J139="Bronze"),"Priority Followup","No Action")</f>
        <v>No Action</v>
      </c>
    </row>
    <row r="140" customFormat="false" ht="15" hidden="false" customHeight="false" outlineLevel="0" collapsed="false">
      <c r="A140" s="2" t="n">
        <v>138</v>
      </c>
      <c r="B140" s="2" t="n">
        <v>52</v>
      </c>
      <c r="C140" s="2" t="s">
        <v>11</v>
      </c>
      <c r="D140" s="2" t="s">
        <v>18</v>
      </c>
      <c r="E140" s="2" t="n">
        <v>104888</v>
      </c>
      <c r="F140" s="2" t="n">
        <v>7</v>
      </c>
      <c r="G140" s="2" t="n">
        <v>7</v>
      </c>
      <c r="H140" s="2" t="n">
        <v>20</v>
      </c>
      <c r="I140" s="2" t="s">
        <v>13</v>
      </c>
      <c r="J140" s="2" t="s">
        <v>14</v>
      </c>
      <c r="K140" s="2" t="n">
        <v>100</v>
      </c>
      <c r="L140" s="8" t="str">
        <f aca="false">IF(B140&lt;25,"Gen Z",IF(B140&lt;40,"Millennial",IF(B140&lt;55,"Gen X","Baby Boomer")))</f>
        <v>Gen X</v>
      </c>
      <c r="M140" s="8" t="str">
        <f aca="false">IF(E140&lt;50000,"Low Income",IF(E140&lt;80000,"Middle Income",IF(E140&lt;100000,"Upper Middle","High Income")))</f>
        <v>High Income</v>
      </c>
      <c r="N140" s="8" t="str">
        <f aca="false">IF(F140&lt;=3,"Poor",IF(F140&lt;=6,"Average",IF(F140&lt;=8,"Good","Excellent")))</f>
        <v>Good</v>
      </c>
      <c r="O140" s="8" t="str">
        <f aca="false">IF(G140&lt;=3,"Poor",IF(G140&lt;=6,"Average",IF(G140&lt;=8,"Good","Excellent")))</f>
        <v>Good</v>
      </c>
      <c r="P140" s="8" t="str">
        <f aca="false">IF(H140&lt;=5,"Low Frequency",IF(H140&lt;=10,"Moderate",IF(H140&lt;=15,"High","Very High")))</f>
        <v>Very High</v>
      </c>
      <c r="Q140" s="8" t="str">
        <f aca="false">IF(K140&gt;=90,"Highly Satisfied",IF(K140&gt;=75,"Satisfied",IF(K140&gt;=60,"Neutral","Dissatisfied")))</f>
        <v>Highly Satisfied</v>
      </c>
      <c r="R140" s="8" t="str">
        <f aca="false">UPPER(LEFT(TRIM(J140),1))&amp;LOWER(MID(TRIM(J140),2,100))</f>
        <v>Bronze</v>
      </c>
      <c r="S140" s="8" t="str">
        <f aca="false">IF(I140="High","Positive",IF(I140="Medium","Neutral","Negative"))</f>
        <v>Negative</v>
      </c>
      <c r="T140" s="8" t="str">
        <f aca="false">IF(AND(E140&gt;=80000,H140&gt;=15),"Premium",IF(AND(E140&gt;=50000,H140&gt;=10),"Standard","Basic"))</f>
        <v>Premium</v>
      </c>
      <c r="U140" s="8" t="str">
        <f aca="false">IF(AND(F140&gt;=7,G140&gt;=7),"High Quality Experience","Review Needed")</f>
        <v>High Quality Experience</v>
      </c>
      <c r="V140" s="8" t="str">
        <f aca="false">IF(H140&gt;=10,"Repeat Buyer","Occasional Buyer")</f>
        <v>Repeat Buyer</v>
      </c>
      <c r="W140" s="8" t="str">
        <f aca="false">IF(AND(K140&lt;70,I140="Low"),"At Risk","Stable")</f>
        <v>Stable</v>
      </c>
      <c r="X140" s="8" t="str">
        <f aca="false">IF(AND(K140&lt;75,I140="Low",J140="Bronze"),"Priority Followup","No Action")</f>
        <v>No Action</v>
      </c>
    </row>
    <row r="141" customFormat="false" ht="15" hidden="false" customHeight="false" outlineLevel="0" collapsed="false">
      <c r="A141" s="3" t="n">
        <v>139</v>
      </c>
      <c r="B141" s="3" t="n">
        <v>18</v>
      </c>
      <c r="C141" s="3" t="s">
        <v>11</v>
      </c>
      <c r="D141" s="3" t="s">
        <v>23</v>
      </c>
      <c r="E141" s="3" t="n">
        <v>45970</v>
      </c>
      <c r="F141" s="3" t="n">
        <v>10</v>
      </c>
      <c r="G141" s="3" t="n">
        <v>3</v>
      </c>
      <c r="H141" s="3" t="n">
        <v>15</v>
      </c>
      <c r="I141" s="3" t="s">
        <v>15</v>
      </c>
      <c r="J141" s="3" t="s">
        <v>14</v>
      </c>
      <c r="K141" s="3" t="n">
        <v>88.63</v>
      </c>
      <c r="L141" s="7" t="str">
        <f aca="false">IF(B141&lt;25,"Gen Z",IF(B141&lt;40,"Millennial",IF(B141&lt;55,"Gen X","Baby Boomer")))</f>
        <v>Gen Z</v>
      </c>
      <c r="M141" s="7" t="str">
        <f aca="false">IF(E141&lt;50000,"Low Income",IF(E141&lt;80000,"Middle Income",IF(E141&lt;100000,"Upper Middle","High Income")))</f>
        <v>Low Income</v>
      </c>
      <c r="N141" s="7" t="str">
        <f aca="false">IF(F141&lt;=3,"Poor",IF(F141&lt;=6,"Average",IF(F141&lt;=8,"Good","Excellent")))</f>
        <v>Excellent</v>
      </c>
      <c r="O141" s="7" t="str">
        <f aca="false">IF(G141&lt;=3,"Poor",IF(G141&lt;=6,"Average",IF(G141&lt;=8,"Good","Excellent")))</f>
        <v>Poor</v>
      </c>
      <c r="P141" s="7" t="str">
        <f aca="false">IF(H141&lt;=5,"Low Frequency",IF(H141&lt;=10,"Moderate",IF(H141&lt;=15,"High","Very High")))</f>
        <v>High</v>
      </c>
      <c r="Q141" s="7" t="str">
        <f aca="false">IF(K141&gt;=90,"Highly Satisfied",IF(K141&gt;=75,"Satisfied",IF(K141&gt;=60,"Neutral","Dissatisfied")))</f>
        <v>Satisfied</v>
      </c>
      <c r="R141" s="7" t="str">
        <f aca="false">UPPER(LEFT(TRIM(J141),1))&amp;LOWER(MID(TRIM(J141),2,100))</f>
        <v>Bronze</v>
      </c>
      <c r="S141" s="7" t="str">
        <f aca="false">IF(I141="High","Positive",IF(I141="Medium","Neutral","Negative"))</f>
        <v>Neutral</v>
      </c>
      <c r="T141" s="7" t="str">
        <f aca="false">IF(AND(E141&gt;=80000,H141&gt;=15),"Premium",IF(AND(E141&gt;=50000,H141&gt;=10),"Standard","Basic"))</f>
        <v>Basic</v>
      </c>
      <c r="U141" s="7" t="str">
        <f aca="false">IF(AND(F141&gt;=7,G141&gt;=7),"High Quality Experience","Review Needed")</f>
        <v>Review Needed</v>
      </c>
      <c r="V141" s="7" t="str">
        <f aca="false">IF(H141&gt;=10,"Repeat Buyer","Occasional Buyer")</f>
        <v>Repeat Buyer</v>
      </c>
      <c r="W141" s="7" t="str">
        <f aca="false">IF(AND(K141&lt;70,I141="Low"),"At Risk","Stable")</f>
        <v>Stable</v>
      </c>
      <c r="X141" s="7" t="str">
        <f aca="false">IF(AND(K141&lt;75,I141="Low",J141="Bronze"),"Priority Followup","No Action")</f>
        <v>No Action</v>
      </c>
    </row>
    <row r="142" customFormat="false" ht="15" hidden="false" customHeight="false" outlineLevel="0" collapsed="false">
      <c r="A142" s="2" t="n">
        <v>140</v>
      </c>
      <c r="B142" s="2" t="n">
        <v>52</v>
      </c>
      <c r="C142" s="2" t="s">
        <v>17</v>
      </c>
      <c r="D142" s="2" t="s">
        <v>12</v>
      </c>
      <c r="E142" s="2" t="n">
        <v>46546</v>
      </c>
      <c r="F142" s="2" t="n">
        <v>5</v>
      </c>
      <c r="G142" s="2" t="n">
        <v>2</v>
      </c>
      <c r="H142" s="2" t="n">
        <v>12</v>
      </c>
      <c r="I142" s="2" t="s">
        <v>15</v>
      </c>
      <c r="J142" s="2" t="s">
        <v>16</v>
      </c>
      <c r="K142" s="2" t="n">
        <v>77.78</v>
      </c>
      <c r="L142" s="8" t="str">
        <f aca="false">IF(B142&lt;25,"Gen Z",IF(B142&lt;40,"Millennial",IF(B142&lt;55,"Gen X","Baby Boomer")))</f>
        <v>Gen X</v>
      </c>
      <c r="M142" s="8" t="str">
        <f aca="false">IF(E142&lt;50000,"Low Income",IF(E142&lt;80000,"Middle Income",IF(E142&lt;100000,"Upper Middle","High Income")))</f>
        <v>Low Income</v>
      </c>
      <c r="N142" s="8" t="str">
        <f aca="false">IF(F142&lt;=3,"Poor",IF(F142&lt;=6,"Average",IF(F142&lt;=8,"Good","Excellent")))</f>
        <v>Average</v>
      </c>
      <c r="O142" s="8" t="str">
        <f aca="false">IF(G142&lt;=3,"Poor",IF(G142&lt;=6,"Average",IF(G142&lt;=8,"Good","Excellent")))</f>
        <v>Poor</v>
      </c>
      <c r="P142" s="8" t="str">
        <f aca="false">IF(H142&lt;=5,"Low Frequency",IF(H142&lt;=10,"Moderate",IF(H142&lt;=15,"High","Very High")))</f>
        <v>High</v>
      </c>
      <c r="Q142" s="8" t="str">
        <f aca="false">IF(K142&gt;=90,"Highly Satisfied",IF(K142&gt;=75,"Satisfied",IF(K142&gt;=60,"Neutral","Dissatisfied")))</f>
        <v>Satisfied</v>
      </c>
      <c r="R142" s="8" t="str">
        <f aca="false">UPPER(LEFT(TRIM(J142),1))&amp;LOWER(MID(TRIM(J142),2,100))</f>
        <v>Gold</v>
      </c>
      <c r="S142" s="8" t="str">
        <f aca="false">IF(I142="High","Positive",IF(I142="Medium","Neutral","Negative"))</f>
        <v>Neutral</v>
      </c>
      <c r="T142" s="8" t="str">
        <f aca="false">IF(AND(E142&gt;=80000,H142&gt;=15),"Premium",IF(AND(E142&gt;=50000,H142&gt;=10),"Standard","Basic"))</f>
        <v>Basic</v>
      </c>
      <c r="U142" s="8" t="str">
        <f aca="false">IF(AND(F142&gt;=7,G142&gt;=7),"High Quality Experience","Review Needed")</f>
        <v>Review Needed</v>
      </c>
      <c r="V142" s="8" t="str">
        <f aca="false">IF(H142&gt;=10,"Repeat Buyer","Occasional Buyer")</f>
        <v>Repeat Buyer</v>
      </c>
      <c r="W142" s="8" t="str">
        <f aca="false">IF(AND(K142&lt;70,I142="Low"),"At Risk","Stable")</f>
        <v>Stable</v>
      </c>
      <c r="X142" s="8" t="str">
        <f aca="false">IF(AND(K142&lt;75,I142="Low",J142="Bronze"),"Priority Followup","No Action")</f>
        <v>No Action</v>
      </c>
    </row>
    <row r="143" customFormat="false" ht="15" hidden="false" customHeight="false" outlineLevel="0" collapsed="false">
      <c r="A143" s="3" t="n">
        <v>141</v>
      </c>
      <c r="B143" s="3" t="n">
        <v>54</v>
      </c>
      <c r="C143" s="3" t="s">
        <v>17</v>
      </c>
      <c r="D143" s="3" t="s">
        <v>12</v>
      </c>
      <c r="E143" s="3" t="n">
        <v>60860</v>
      </c>
      <c r="F143" s="3" t="n">
        <v>7</v>
      </c>
      <c r="G143" s="3" t="n">
        <v>9</v>
      </c>
      <c r="H143" s="3" t="n">
        <v>4</v>
      </c>
      <c r="I143" s="3" t="s">
        <v>13</v>
      </c>
      <c r="J143" s="3" t="s">
        <v>14</v>
      </c>
      <c r="K143" s="3" t="n">
        <v>100</v>
      </c>
      <c r="L143" s="7" t="str">
        <f aca="false">IF(B143&lt;25,"Gen Z",IF(B143&lt;40,"Millennial",IF(B143&lt;55,"Gen X","Baby Boomer")))</f>
        <v>Gen X</v>
      </c>
      <c r="M143" s="7" t="str">
        <f aca="false">IF(E143&lt;50000,"Low Income",IF(E143&lt;80000,"Middle Income",IF(E143&lt;100000,"Upper Middle","High Income")))</f>
        <v>Middle Income</v>
      </c>
      <c r="N143" s="7" t="str">
        <f aca="false">IF(F143&lt;=3,"Poor",IF(F143&lt;=6,"Average",IF(F143&lt;=8,"Good","Excellent")))</f>
        <v>Good</v>
      </c>
      <c r="O143" s="7" t="str">
        <f aca="false">IF(G143&lt;=3,"Poor",IF(G143&lt;=6,"Average",IF(G143&lt;=8,"Good","Excellent")))</f>
        <v>Excellent</v>
      </c>
      <c r="P143" s="7" t="str">
        <f aca="false">IF(H143&lt;=5,"Low Frequency",IF(H143&lt;=10,"Moderate",IF(H143&lt;=15,"High","Very High")))</f>
        <v>Low Frequency</v>
      </c>
      <c r="Q143" s="7" t="str">
        <f aca="false">IF(K143&gt;=90,"Highly Satisfied",IF(K143&gt;=75,"Satisfied",IF(K143&gt;=60,"Neutral","Dissatisfied")))</f>
        <v>Highly Satisfied</v>
      </c>
      <c r="R143" s="7" t="str">
        <f aca="false">UPPER(LEFT(TRIM(J143),1))&amp;LOWER(MID(TRIM(J143),2,100))</f>
        <v>Bronze</v>
      </c>
      <c r="S143" s="7" t="str">
        <f aca="false">IF(I143="High","Positive",IF(I143="Medium","Neutral","Negative"))</f>
        <v>Negative</v>
      </c>
      <c r="T143" s="7" t="str">
        <f aca="false">IF(AND(E143&gt;=80000,H143&gt;=15),"Premium",IF(AND(E143&gt;=50000,H143&gt;=10),"Standard","Basic"))</f>
        <v>Basic</v>
      </c>
      <c r="U143" s="7" t="str">
        <f aca="false">IF(AND(F143&gt;=7,G143&gt;=7),"High Quality Experience","Review Needed")</f>
        <v>High Quality Experience</v>
      </c>
      <c r="V143" s="7" t="str">
        <f aca="false">IF(H143&gt;=10,"Repeat Buyer","Occasional Buyer")</f>
        <v>Occasional Buyer</v>
      </c>
      <c r="W143" s="7" t="str">
        <f aca="false">IF(AND(K143&lt;70,I143="Low"),"At Risk","Stable")</f>
        <v>Stable</v>
      </c>
      <c r="X143" s="7" t="str">
        <f aca="false">IF(AND(K143&lt;75,I143="Low",J143="Bronze"),"Priority Followup","No Action")</f>
        <v>No Action</v>
      </c>
    </row>
    <row r="144" customFormat="false" ht="15" hidden="false" customHeight="false" outlineLevel="0" collapsed="false">
      <c r="A144" s="2" t="n">
        <v>142</v>
      </c>
      <c r="B144" s="2" t="n">
        <v>64</v>
      </c>
      <c r="C144" s="2" t="s">
        <v>11</v>
      </c>
      <c r="D144" s="2" t="s">
        <v>12</v>
      </c>
      <c r="E144" s="2" t="n">
        <v>51145</v>
      </c>
      <c r="F144" s="2" t="n">
        <v>4</v>
      </c>
      <c r="G144" s="2" t="n">
        <v>3</v>
      </c>
      <c r="H144" s="2" t="n">
        <v>17</v>
      </c>
      <c r="I144" s="2" t="s">
        <v>21</v>
      </c>
      <c r="J144" s="2" t="s">
        <v>16</v>
      </c>
      <c r="K144" s="2" t="n">
        <v>92.42</v>
      </c>
      <c r="L144" s="8" t="str">
        <f aca="false">IF(B144&lt;25,"Gen Z",IF(B144&lt;40,"Millennial",IF(B144&lt;55,"Gen X","Baby Boomer")))</f>
        <v>Baby Boomer</v>
      </c>
      <c r="M144" s="8" t="str">
        <f aca="false">IF(E144&lt;50000,"Low Income",IF(E144&lt;80000,"Middle Income",IF(E144&lt;100000,"Upper Middle","High Income")))</f>
        <v>Middle Income</v>
      </c>
      <c r="N144" s="8" t="str">
        <f aca="false">IF(F144&lt;=3,"Poor",IF(F144&lt;=6,"Average",IF(F144&lt;=8,"Good","Excellent")))</f>
        <v>Average</v>
      </c>
      <c r="O144" s="8" t="str">
        <f aca="false">IF(G144&lt;=3,"Poor",IF(G144&lt;=6,"Average",IF(G144&lt;=8,"Good","Excellent")))</f>
        <v>Poor</v>
      </c>
      <c r="P144" s="8" t="str">
        <f aca="false">IF(H144&lt;=5,"Low Frequency",IF(H144&lt;=10,"Moderate",IF(H144&lt;=15,"High","Very High")))</f>
        <v>Very High</v>
      </c>
      <c r="Q144" s="8" t="str">
        <f aca="false">IF(K144&gt;=90,"Highly Satisfied",IF(K144&gt;=75,"Satisfied",IF(K144&gt;=60,"Neutral","Dissatisfied")))</f>
        <v>Highly Satisfied</v>
      </c>
      <c r="R144" s="8" t="str">
        <f aca="false">UPPER(LEFT(TRIM(J144),1))&amp;LOWER(MID(TRIM(J144),2,100))</f>
        <v>Gold</v>
      </c>
      <c r="S144" s="8" t="str">
        <f aca="false">IF(I144="High","Positive",IF(I144="Medium","Neutral","Negative"))</f>
        <v>Positive</v>
      </c>
      <c r="T144" s="8" t="str">
        <f aca="false">IF(AND(E144&gt;=80000,H144&gt;=15),"Premium",IF(AND(E144&gt;=50000,H144&gt;=10),"Standard","Basic"))</f>
        <v>Standard</v>
      </c>
      <c r="U144" s="8" t="str">
        <f aca="false">IF(AND(F144&gt;=7,G144&gt;=7),"High Quality Experience","Review Needed")</f>
        <v>Review Needed</v>
      </c>
      <c r="V144" s="8" t="str">
        <f aca="false">IF(H144&gt;=10,"Repeat Buyer","Occasional Buyer")</f>
        <v>Repeat Buyer</v>
      </c>
      <c r="W144" s="8" t="str">
        <f aca="false">IF(AND(K144&lt;70,I144="Low"),"At Risk","Stable")</f>
        <v>Stable</v>
      </c>
      <c r="X144" s="8" t="str">
        <f aca="false">IF(AND(K144&lt;75,I144="Low",J144="Bronze"),"Priority Followup","No Action")</f>
        <v>No Action</v>
      </c>
    </row>
    <row r="145" customFormat="false" ht="15" hidden="false" customHeight="false" outlineLevel="0" collapsed="false">
      <c r="A145" s="3" t="n">
        <v>143</v>
      </c>
      <c r="B145" s="3" t="n">
        <v>31</v>
      </c>
      <c r="C145" s="3" t="s">
        <v>17</v>
      </c>
      <c r="D145" s="3" t="s">
        <v>18</v>
      </c>
      <c r="E145" s="3" t="n">
        <v>67042</v>
      </c>
      <c r="F145" s="3" t="n">
        <v>1</v>
      </c>
      <c r="G145" s="3" t="n">
        <v>1</v>
      </c>
      <c r="H145" s="3" t="n">
        <v>9</v>
      </c>
      <c r="I145" s="3" t="s">
        <v>21</v>
      </c>
      <c r="J145" s="3" t="s">
        <v>19</v>
      </c>
      <c r="K145" s="3" t="n">
        <v>26.67</v>
      </c>
      <c r="L145" s="7" t="str">
        <f aca="false">IF(B145&lt;25,"Gen Z",IF(B145&lt;40,"Millennial",IF(B145&lt;55,"Gen X","Baby Boomer")))</f>
        <v>Millennial</v>
      </c>
      <c r="M145" s="7" t="str">
        <f aca="false">IF(E145&lt;50000,"Low Income",IF(E145&lt;80000,"Middle Income",IF(E145&lt;100000,"Upper Middle","High Income")))</f>
        <v>Middle Income</v>
      </c>
      <c r="N145" s="7" t="str">
        <f aca="false">IF(F145&lt;=3,"Poor",IF(F145&lt;=6,"Average",IF(F145&lt;=8,"Good","Excellent")))</f>
        <v>Poor</v>
      </c>
      <c r="O145" s="7" t="str">
        <f aca="false">IF(G145&lt;=3,"Poor",IF(G145&lt;=6,"Average",IF(G145&lt;=8,"Good","Excellent")))</f>
        <v>Poor</v>
      </c>
      <c r="P145" s="7" t="str">
        <f aca="false">IF(H145&lt;=5,"Low Frequency",IF(H145&lt;=10,"Moderate",IF(H145&lt;=15,"High","Very High")))</f>
        <v>Moderate</v>
      </c>
      <c r="Q145" s="7" t="str">
        <f aca="false">IF(K145&gt;=90,"Highly Satisfied",IF(K145&gt;=75,"Satisfied",IF(K145&gt;=60,"Neutral","Dissatisfied")))</f>
        <v>Dissatisfied</v>
      </c>
      <c r="R145" s="7" t="str">
        <f aca="false">UPPER(LEFT(TRIM(J145),1))&amp;LOWER(MID(TRIM(J145),2,100))</f>
        <v>Silver</v>
      </c>
      <c r="S145" s="7" t="str">
        <f aca="false">IF(I145="High","Positive",IF(I145="Medium","Neutral","Negative"))</f>
        <v>Positive</v>
      </c>
      <c r="T145" s="7" t="str">
        <f aca="false">IF(AND(E145&gt;=80000,H145&gt;=15),"Premium",IF(AND(E145&gt;=50000,H145&gt;=10),"Standard","Basic"))</f>
        <v>Basic</v>
      </c>
      <c r="U145" s="7" t="str">
        <f aca="false">IF(AND(F145&gt;=7,G145&gt;=7),"High Quality Experience","Review Needed")</f>
        <v>Review Needed</v>
      </c>
      <c r="V145" s="7" t="str">
        <f aca="false">IF(H145&gt;=10,"Repeat Buyer","Occasional Buyer")</f>
        <v>Occasional Buyer</v>
      </c>
      <c r="W145" s="7" t="str">
        <f aca="false">IF(AND(K145&lt;70,I145="Low"),"At Risk","Stable")</f>
        <v>Stable</v>
      </c>
      <c r="X145" s="7" t="str">
        <f aca="false">IF(AND(K145&lt;75,I145="Low",J145="Bronze"),"Priority Followup","No Action")</f>
        <v>No Action</v>
      </c>
    </row>
    <row r="146" customFormat="false" ht="15" hidden="false" customHeight="false" outlineLevel="0" collapsed="false">
      <c r="A146" s="2" t="n">
        <v>144</v>
      </c>
      <c r="B146" s="2" t="n">
        <v>20</v>
      </c>
      <c r="C146" s="2" t="s">
        <v>11</v>
      </c>
      <c r="D146" s="2" t="s">
        <v>18</v>
      </c>
      <c r="E146" s="2" t="n">
        <v>65992</v>
      </c>
      <c r="F146" s="2" t="n">
        <v>1</v>
      </c>
      <c r="G146" s="2" t="n">
        <v>9</v>
      </c>
      <c r="H146" s="2" t="n">
        <v>20</v>
      </c>
      <c r="I146" s="2" t="s">
        <v>15</v>
      </c>
      <c r="J146" s="2" t="s">
        <v>14</v>
      </c>
      <c r="K146" s="2" t="n">
        <v>78.83</v>
      </c>
      <c r="L146" s="8" t="str">
        <f aca="false">IF(B146&lt;25,"Gen Z",IF(B146&lt;40,"Millennial",IF(B146&lt;55,"Gen X","Baby Boomer")))</f>
        <v>Gen Z</v>
      </c>
      <c r="M146" s="8" t="str">
        <f aca="false">IF(E146&lt;50000,"Low Income",IF(E146&lt;80000,"Middle Income",IF(E146&lt;100000,"Upper Middle","High Income")))</f>
        <v>Middle Income</v>
      </c>
      <c r="N146" s="8" t="str">
        <f aca="false">IF(F146&lt;=3,"Poor",IF(F146&lt;=6,"Average",IF(F146&lt;=8,"Good","Excellent")))</f>
        <v>Poor</v>
      </c>
      <c r="O146" s="8" t="str">
        <f aca="false">IF(G146&lt;=3,"Poor",IF(G146&lt;=6,"Average",IF(G146&lt;=8,"Good","Excellent")))</f>
        <v>Excellent</v>
      </c>
      <c r="P146" s="8" t="str">
        <f aca="false">IF(H146&lt;=5,"Low Frequency",IF(H146&lt;=10,"Moderate",IF(H146&lt;=15,"High","Very High")))</f>
        <v>Very High</v>
      </c>
      <c r="Q146" s="8" t="str">
        <f aca="false">IF(K146&gt;=90,"Highly Satisfied",IF(K146&gt;=75,"Satisfied",IF(K146&gt;=60,"Neutral","Dissatisfied")))</f>
        <v>Satisfied</v>
      </c>
      <c r="R146" s="8" t="str">
        <f aca="false">UPPER(LEFT(TRIM(J146),1))&amp;LOWER(MID(TRIM(J146),2,100))</f>
        <v>Bronze</v>
      </c>
      <c r="S146" s="8" t="str">
        <f aca="false">IF(I146="High","Positive",IF(I146="Medium","Neutral","Negative"))</f>
        <v>Neutral</v>
      </c>
      <c r="T146" s="8" t="str">
        <f aca="false">IF(AND(E146&gt;=80000,H146&gt;=15),"Premium",IF(AND(E146&gt;=50000,H146&gt;=10),"Standard","Basic"))</f>
        <v>Standard</v>
      </c>
      <c r="U146" s="8" t="str">
        <f aca="false">IF(AND(F146&gt;=7,G146&gt;=7),"High Quality Experience","Review Needed")</f>
        <v>Review Needed</v>
      </c>
      <c r="V146" s="8" t="str">
        <f aca="false">IF(H146&gt;=10,"Repeat Buyer","Occasional Buyer")</f>
        <v>Repeat Buyer</v>
      </c>
      <c r="W146" s="8" t="str">
        <f aca="false">IF(AND(K146&lt;70,I146="Low"),"At Risk","Stable")</f>
        <v>Stable</v>
      </c>
      <c r="X146" s="8" t="str">
        <f aca="false">IF(AND(K146&lt;75,I146="Low",J146="Bronze"),"Priority Followup","No Action")</f>
        <v>No Action</v>
      </c>
    </row>
    <row r="147" customFormat="false" ht="15" hidden="false" customHeight="false" outlineLevel="0" collapsed="false">
      <c r="A147" s="3" t="n">
        <v>145</v>
      </c>
      <c r="B147" s="3" t="n">
        <v>18</v>
      </c>
      <c r="C147" s="3" t="s">
        <v>11</v>
      </c>
      <c r="D147" s="3" t="s">
        <v>22</v>
      </c>
      <c r="E147" s="3" t="n">
        <v>103510</v>
      </c>
      <c r="F147" s="3" t="n">
        <v>7</v>
      </c>
      <c r="G147" s="3" t="n">
        <v>3</v>
      </c>
      <c r="H147" s="3" t="n">
        <v>15</v>
      </c>
      <c r="I147" s="3" t="s">
        <v>21</v>
      </c>
      <c r="J147" s="3" t="s">
        <v>14</v>
      </c>
      <c r="K147" s="3" t="n">
        <v>83.59</v>
      </c>
      <c r="L147" s="7" t="str">
        <f aca="false">IF(B147&lt;25,"Gen Z",IF(B147&lt;40,"Millennial",IF(B147&lt;55,"Gen X","Baby Boomer")))</f>
        <v>Gen Z</v>
      </c>
      <c r="M147" s="7" t="str">
        <f aca="false">IF(E147&lt;50000,"Low Income",IF(E147&lt;80000,"Middle Income",IF(E147&lt;100000,"Upper Middle","High Income")))</f>
        <v>High Income</v>
      </c>
      <c r="N147" s="7" t="str">
        <f aca="false">IF(F147&lt;=3,"Poor",IF(F147&lt;=6,"Average",IF(F147&lt;=8,"Good","Excellent")))</f>
        <v>Good</v>
      </c>
      <c r="O147" s="7" t="str">
        <f aca="false">IF(G147&lt;=3,"Poor",IF(G147&lt;=6,"Average",IF(G147&lt;=8,"Good","Excellent")))</f>
        <v>Poor</v>
      </c>
      <c r="P147" s="7" t="str">
        <f aca="false">IF(H147&lt;=5,"Low Frequency",IF(H147&lt;=10,"Moderate",IF(H147&lt;=15,"High","Very High")))</f>
        <v>High</v>
      </c>
      <c r="Q147" s="7" t="str">
        <f aca="false">IF(K147&gt;=90,"Highly Satisfied",IF(K147&gt;=75,"Satisfied",IF(K147&gt;=60,"Neutral","Dissatisfied")))</f>
        <v>Satisfied</v>
      </c>
      <c r="R147" s="7" t="str">
        <f aca="false">UPPER(LEFT(TRIM(J147),1))&amp;LOWER(MID(TRIM(J147),2,100))</f>
        <v>Bronze</v>
      </c>
      <c r="S147" s="7" t="str">
        <f aca="false">IF(I147="High","Positive",IF(I147="Medium","Neutral","Negative"))</f>
        <v>Positive</v>
      </c>
      <c r="T147" s="7" t="str">
        <f aca="false">IF(AND(E147&gt;=80000,H147&gt;=15),"Premium",IF(AND(E147&gt;=50000,H147&gt;=10),"Standard","Basic"))</f>
        <v>Premium</v>
      </c>
      <c r="U147" s="7" t="str">
        <f aca="false">IF(AND(F147&gt;=7,G147&gt;=7),"High Quality Experience","Review Needed")</f>
        <v>Review Needed</v>
      </c>
      <c r="V147" s="7" t="str">
        <f aca="false">IF(H147&gt;=10,"Repeat Buyer","Occasional Buyer")</f>
        <v>Repeat Buyer</v>
      </c>
      <c r="W147" s="7" t="str">
        <f aca="false">IF(AND(K147&lt;70,I147="Low"),"At Risk","Stable")</f>
        <v>Stable</v>
      </c>
      <c r="X147" s="7" t="str">
        <f aca="false">IF(AND(K147&lt;75,I147="Low",J147="Bronze"),"Priority Followup","No Action")</f>
        <v>No Action</v>
      </c>
    </row>
    <row r="148" customFormat="false" ht="15" hidden="false" customHeight="false" outlineLevel="0" collapsed="false">
      <c r="A148" s="2" t="n">
        <v>146</v>
      </c>
      <c r="B148" s="2" t="n">
        <v>22</v>
      </c>
      <c r="C148" s="2" t="s">
        <v>11</v>
      </c>
      <c r="D148" s="2" t="s">
        <v>22</v>
      </c>
      <c r="E148" s="2" t="n">
        <v>42746</v>
      </c>
      <c r="F148" s="2" t="n">
        <v>9</v>
      </c>
      <c r="G148" s="2" t="n">
        <v>4</v>
      </c>
      <c r="H148" s="2" t="n">
        <v>7</v>
      </c>
      <c r="I148" s="2" t="s">
        <v>13</v>
      </c>
      <c r="J148" s="2" t="s">
        <v>19</v>
      </c>
      <c r="K148" s="2" t="n">
        <v>97.22</v>
      </c>
      <c r="L148" s="8" t="str">
        <f aca="false">IF(B148&lt;25,"Gen Z",IF(B148&lt;40,"Millennial",IF(B148&lt;55,"Gen X","Baby Boomer")))</f>
        <v>Gen Z</v>
      </c>
      <c r="M148" s="8" t="str">
        <f aca="false">IF(E148&lt;50000,"Low Income",IF(E148&lt;80000,"Middle Income",IF(E148&lt;100000,"Upper Middle","High Income")))</f>
        <v>Low Income</v>
      </c>
      <c r="N148" s="8" t="str">
        <f aca="false">IF(F148&lt;=3,"Poor",IF(F148&lt;=6,"Average",IF(F148&lt;=8,"Good","Excellent")))</f>
        <v>Excellent</v>
      </c>
      <c r="O148" s="8" t="str">
        <f aca="false">IF(G148&lt;=3,"Poor",IF(G148&lt;=6,"Average",IF(G148&lt;=8,"Good","Excellent")))</f>
        <v>Average</v>
      </c>
      <c r="P148" s="8" t="str">
        <f aca="false">IF(H148&lt;=5,"Low Frequency",IF(H148&lt;=10,"Moderate",IF(H148&lt;=15,"High","Very High")))</f>
        <v>Moderate</v>
      </c>
      <c r="Q148" s="8" t="str">
        <f aca="false">IF(K148&gt;=90,"Highly Satisfied",IF(K148&gt;=75,"Satisfied",IF(K148&gt;=60,"Neutral","Dissatisfied")))</f>
        <v>Highly Satisfied</v>
      </c>
      <c r="R148" s="8" t="str">
        <f aca="false">UPPER(LEFT(TRIM(J148),1))&amp;LOWER(MID(TRIM(J148),2,100))</f>
        <v>Silver</v>
      </c>
      <c r="S148" s="8" t="str">
        <f aca="false">IF(I148="High","Positive",IF(I148="Medium","Neutral","Negative"))</f>
        <v>Negative</v>
      </c>
      <c r="T148" s="8" t="str">
        <f aca="false">IF(AND(E148&gt;=80000,H148&gt;=15),"Premium",IF(AND(E148&gt;=50000,H148&gt;=10),"Standard","Basic"))</f>
        <v>Basic</v>
      </c>
      <c r="U148" s="8" t="str">
        <f aca="false">IF(AND(F148&gt;=7,G148&gt;=7),"High Quality Experience","Review Needed")</f>
        <v>Review Needed</v>
      </c>
      <c r="V148" s="8" t="str">
        <f aca="false">IF(H148&gt;=10,"Repeat Buyer","Occasional Buyer")</f>
        <v>Occasional Buyer</v>
      </c>
      <c r="W148" s="8" t="str">
        <f aca="false">IF(AND(K148&lt;70,I148="Low"),"At Risk","Stable")</f>
        <v>Stable</v>
      </c>
      <c r="X148" s="8" t="str">
        <f aca="false">IF(AND(K148&lt;75,I148="Low",J148="Bronze"),"Priority Followup","No Action")</f>
        <v>No Action</v>
      </c>
    </row>
    <row r="149" customFormat="false" ht="15" hidden="false" customHeight="false" outlineLevel="0" collapsed="false">
      <c r="A149" s="3" t="n">
        <v>147</v>
      </c>
      <c r="B149" s="3" t="n">
        <v>43</v>
      </c>
      <c r="C149" s="3" t="s">
        <v>11</v>
      </c>
      <c r="D149" s="3" t="s">
        <v>23</v>
      </c>
      <c r="E149" s="3" t="n">
        <v>101133</v>
      </c>
      <c r="F149" s="3" t="n">
        <v>6</v>
      </c>
      <c r="G149" s="3" t="n">
        <v>3</v>
      </c>
      <c r="H149" s="3" t="n">
        <v>9</v>
      </c>
      <c r="I149" s="3" t="s">
        <v>13</v>
      </c>
      <c r="J149" s="3" t="s">
        <v>19</v>
      </c>
      <c r="K149" s="3" t="n">
        <v>77.17</v>
      </c>
      <c r="L149" s="7" t="str">
        <f aca="false">IF(B149&lt;25,"Gen Z",IF(B149&lt;40,"Millennial",IF(B149&lt;55,"Gen X","Baby Boomer")))</f>
        <v>Gen X</v>
      </c>
      <c r="M149" s="7" t="str">
        <f aca="false">IF(E149&lt;50000,"Low Income",IF(E149&lt;80000,"Middle Income",IF(E149&lt;100000,"Upper Middle","High Income")))</f>
        <v>High Income</v>
      </c>
      <c r="N149" s="7" t="str">
        <f aca="false">IF(F149&lt;=3,"Poor",IF(F149&lt;=6,"Average",IF(F149&lt;=8,"Good","Excellent")))</f>
        <v>Average</v>
      </c>
      <c r="O149" s="7" t="str">
        <f aca="false">IF(G149&lt;=3,"Poor",IF(G149&lt;=6,"Average",IF(G149&lt;=8,"Good","Excellent")))</f>
        <v>Poor</v>
      </c>
      <c r="P149" s="7" t="str">
        <f aca="false">IF(H149&lt;=5,"Low Frequency",IF(H149&lt;=10,"Moderate",IF(H149&lt;=15,"High","Very High")))</f>
        <v>Moderate</v>
      </c>
      <c r="Q149" s="7" t="str">
        <f aca="false">IF(K149&gt;=90,"Highly Satisfied",IF(K149&gt;=75,"Satisfied",IF(K149&gt;=60,"Neutral","Dissatisfied")))</f>
        <v>Satisfied</v>
      </c>
      <c r="R149" s="7" t="str">
        <f aca="false">UPPER(LEFT(TRIM(J149),1))&amp;LOWER(MID(TRIM(J149),2,100))</f>
        <v>Silver</v>
      </c>
      <c r="S149" s="7" t="str">
        <f aca="false">IF(I149="High","Positive",IF(I149="Medium","Neutral","Negative"))</f>
        <v>Negative</v>
      </c>
      <c r="T149" s="7" t="str">
        <f aca="false">IF(AND(E149&gt;=80000,H149&gt;=15),"Premium",IF(AND(E149&gt;=50000,H149&gt;=10),"Standard","Basic"))</f>
        <v>Basic</v>
      </c>
      <c r="U149" s="7" t="str">
        <f aca="false">IF(AND(F149&gt;=7,G149&gt;=7),"High Quality Experience","Review Needed")</f>
        <v>Review Needed</v>
      </c>
      <c r="V149" s="7" t="str">
        <f aca="false">IF(H149&gt;=10,"Repeat Buyer","Occasional Buyer")</f>
        <v>Occasional Buyer</v>
      </c>
      <c r="W149" s="7" t="str">
        <f aca="false">IF(AND(K149&lt;70,I149="Low"),"At Risk","Stable")</f>
        <v>Stable</v>
      </c>
      <c r="X149" s="7" t="str">
        <f aca="false">IF(AND(K149&lt;75,I149="Low",J149="Bronze"),"Priority Followup","No Action")</f>
        <v>No Action</v>
      </c>
    </row>
    <row r="150" customFormat="false" ht="15" hidden="false" customHeight="false" outlineLevel="0" collapsed="false">
      <c r="A150" s="2" t="n">
        <v>148</v>
      </c>
      <c r="B150" s="2" t="n">
        <v>31</v>
      </c>
      <c r="C150" s="2" t="s">
        <v>17</v>
      </c>
      <c r="D150" s="2" t="s">
        <v>18</v>
      </c>
      <c r="E150" s="2" t="n">
        <v>61284</v>
      </c>
      <c r="F150" s="2" t="n">
        <v>3</v>
      </c>
      <c r="G150" s="2" t="n">
        <v>2</v>
      </c>
      <c r="H150" s="2" t="n">
        <v>13</v>
      </c>
      <c r="I150" s="2" t="s">
        <v>21</v>
      </c>
      <c r="J150" s="2" t="s">
        <v>16</v>
      </c>
      <c r="K150" s="2" t="n">
        <v>51.81</v>
      </c>
      <c r="L150" s="8" t="str">
        <f aca="false">IF(B150&lt;25,"Gen Z",IF(B150&lt;40,"Millennial",IF(B150&lt;55,"Gen X","Baby Boomer")))</f>
        <v>Millennial</v>
      </c>
      <c r="M150" s="8" t="str">
        <f aca="false">IF(E150&lt;50000,"Low Income",IF(E150&lt;80000,"Middle Income",IF(E150&lt;100000,"Upper Middle","High Income")))</f>
        <v>Middle Income</v>
      </c>
      <c r="N150" s="8" t="str">
        <f aca="false">IF(F150&lt;=3,"Poor",IF(F150&lt;=6,"Average",IF(F150&lt;=8,"Good","Excellent")))</f>
        <v>Poor</v>
      </c>
      <c r="O150" s="8" t="str">
        <f aca="false">IF(G150&lt;=3,"Poor",IF(G150&lt;=6,"Average",IF(G150&lt;=8,"Good","Excellent")))</f>
        <v>Poor</v>
      </c>
      <c r="P150" s="8" t="str">
        <f aca="false">IF(H150&lt;=5,"Low Frequency",IF(H150&lt;=10,"Moderate",IF(H150&lt;=15,"High","Very High")))</f>
        <v>High</v>
      </c>
      <c r="Q150" s="8" t="str">
        <f aca="false">IF(K150&gt;=90,"Highly Satisfied",IF(K150&gt;=75,"Satisfied",IF(K150&gt;=60,"Neutral","Dissatisfied")))</f>
        <v>Dissatisfied</v>
      </c>
      <c r="R150" s="8" t="str">
        <f aca="false">UPPER(LEFT(TRIM(J150),1))&amp;LOWER(MID(TRIM(J150),2,100))</f>
        <v>Gold</v>
      </c>
      <c r="S150" s="8" t="str">
        <f aca="false">IF(I150="High","Positive",IF(I150="Medium","Neutral","Negative"))</f>
        <v>Positive</v>
      </c>
      <c r="T150" s="8" t="str">
        <f aca="false">IF(AND(E150&gt;=80000,H150&gt;=15),"Premium",IF(AND(E150&gt;=50000,H150&gt;=10),"Standard","Basic"))</f>
        <v>Standard</v>
      </c>
      <c r="U150" s="8" t="str">
        <f aca="false">IF(AND(F150&gt;=7,G150&gt;=7),"High Quality Experience","Review Needed")</f>
        <v>Review Needed</v>
      </c>
      <c r="V150" s="8" t="str">
        <f aca="false">IF(H150&gt;=10,"Repeat Buyer","Occasional Buyer")</f>
        <v>Repeat Buyer</v>
      </c>
      <c r="W150" s="8" t="str">
        <f aca="false">IF(AND(K150&lt;70,I150="Low"),"At Risk","Stable")</f>
        <v>Stable</v>
      </c>
      <c r="X150" s="8" t="str">
        <f aca="false">IF(AND(K150&lt;75,I150="Low",J150="Bronze"),"Priority Followup","No Action")</f>
        <v>No Action</v>
      </c>
    </row>
    <row r="151" customFormat="false" ht="15" hidden="false" customHeight="false" outlineLevel="0" collapsed="false">
      <c r="A151" s="3" t="n">
        <v>149</v>
      </c>
      <c r="B151" s="3" t="n">
        <v>56</v>
      </c>
      <c r="C151" s="3" t="s">
        <v>17</v>
      </c>
      <c r="D151" s="3" t="s">
        <v>12</v>
      </c>
      <c r="E151" s="3" t="n">
        <v>117613</v>
      </c>
      <c r="F151" s="3" t="n">
        <v>9</v>
      </c>
      <c r="G151" s="3" t="n">
        <v>9</v>
      </c>
      <c r="H151" s="3" t="n">
        <v>9</v>
      </c>
      <c r="I151" s="3" t="s">
        <v>15</v>
      </c>
      <c r="J151" s="3" t="s">
        <v>19</v>
      </c>
      <c r="K151" s="3" t="n">
        <v>100</v>
      </c>
      <c r="L151" s="7" t="str">
        <f aca="false">IF(B151&lt;25,"Gen Z",IF(B151&lt;40,"Millennial",IF(B151&lt;55,"Gen X","Baby Boomer")))</f>
        <v>Baby Boomer</v>
      </c>
      <c r="M151" s="7" t="str">
        <f aca="false">IF(E151&lt;50000,"Low Income",IF(E151&lt;80000,"Middle Income",IF(E151&lt;100000,"Upper Middle","High Income")))</f>
        <v>High Income</v>
      </c>
      <c r="N151" s="7" t="str">
        <f aca="false">IF(F151&lt;=3,"Poor",IF(F151&lt;=6,"Average",IF(F151&lt;=8,"Good","Excellent")))</f>
        <v>Excellent</v>
      </c>
      <c r="O151" s="7" t="str">
        <f aca="false">IF(G151&lt;=3,"Poor",IF(G151&lt;=6,"Average",IF(G151&lt;=8,"Good","Excellent")))</f>
        <v>Excellent</v>
      </c>
      <c r="P151" s="7" t="str">
        <f aca="false">IF(H151&lt;=5,"Low Frequency",IF(H151&lt;=10,"Moderate",IF(H151&lt;=15,"High","Very High")))</f>
        <v>Moderate</v>
      </c>
      <c r="Q151" s="7" t="str">
        <f aca="false">IF(K151&gt;=90,"Highly Satisfied",IF(K151&gt;=75,"Satisfied",IF(K151&gt;=60,"Neutral","Dissatisfied")))</f>
        <v>Highly Satisfied</v>
      </c>
      <c r="R151" s="7" t="str">
        <f aca="false">UPPER(LEFT(TRIM(J151),1))&amp;LOWER(MID(TRIM(J151),2,100))</f>
        <v>Silver</v>
      </c>
      <c r="S151" s="7" t="str">
        <f aca="false">IF(I151="High","Positive",IF(I151="Medium","Neutral","Negative"))</f>
        <v>Neutral</v>
      </c>
      <c r="T151" s="7" t="str">
        <f aca="false">IF(AND(E151&gt;=80000,H151&gt;=15),"Premium",IF(AND(E151&gt;=50000,H151&gt;=10),"Standard","Basic"))</f>
        <v>Basic</v>
      </c>
      <c r="U151" s="7" t="str">
        <f aca="false">IF(AND(F151&gt;=7,G151&gt;=7),"High Quality Experience","Review Needed")</f>
        <v>High Quality Experience</v>
      </c>
      <c r="V151" s="7" t="str">
        <f aca="false">IF(H151&gt;=10,"Repeat Buyer","Occasional Buyer")</f>
        <v>Occasional Buyer</v>
      </c>
      <c r="W151" s="7" t="str">
        <f aca="false">IF(AND(K151&lt;70,I151="Low"),"At Risk","Stable")</f>
        <v>Stable</v>
      </c>
      <c r="X151" s="7" t="str">
        <f aca="false">IF(AND(K151&lt;75,I151="Low",J151="Bronze"),"Priority Followup","No Action")</f>
        <v>No Action</v>
      </c>
    </row>
    <row r="152" customFormat="false" ht="15" hidden="false" customHeight="false" outlineLevel="0" collapsed="false">
      <c r="A152" s="2" t="n">
        <v>150</v>
      </c>
      <c r="B152" s="2" t="n">
        <v>44</v>
      </c>
      <c r="C152" s="2" t="s">
        <v>17</v>
      </c>
      <c r="D152" s="2" t="s">
        <v>12</v>
      </c>
      <c r="E152" s="2" t="n">
        <v>44440</v>
      </c>
      <c r="F152" s="2" t="n">
        <v>9</v>
      </c>
      <c r="G152" s="2" t="n">
        <v>1</v>
      </c>
      <c r="H152" s="2" t="n">
        <v>5</v>
      </c>
      <c r="I152" s="2" t="s">
        <v>15</v>
      </c>
      <c r="J152" s="2" t="s">
        <v>19</v>
      </c>
      <c r="K152" s="2" t="n">
        <v>73.83</v>
      </c>
      <c r="L152" s="8" t="str">
        <f aca="false">IF(B152&lt;25,"Gen Z",IF(B152&lt;40,"Millennial",IF(B152&lt;55,"Gen X","Baby Boomer")))</f>
        <v>Gen X</v>
      </c>
      <c r="M152" s="8" t="str">
        <f aca="false">IF(E152&lt;50000,"Low Income",IF(E152&lt;80000,"Middle Income",IF(E152&lt;100000,"Upper Middle","High Income")))</f>
        <v>Low Income</v>
      </c>
      <c r="N152" s="8" t="str">
        <f aca="false">IF(F152&lt;=3,"Poor",IF(F152&lt;=6,"Average",IF(F152&lt;=8,"Good","Excellent")))</f>
        <v>Excellent</v>
      </c>
      <c r="O152" s="8" t="str">
        <f aca="false">IF(G152&lt;=3,"Poor",IF(G152&lt;=6,"Average",IF(G152&lt;=8,"Good","Excellent")))</f>
        <v>Poor</v>
      </c>
      <c r="P152" s="8" t="str">
        <f aca="false">IF(H152&lt;=5,"Low Frequency",IF(H152&lt;=10,"Moderate",IF(H152&lt;=15,"High","Very High")))</f>
        <v>Low Frequency</v>
      </c>
      <c r="Q152" s="8" t="str">
        <f aca="false">IF(K152&gt;=90,"Highly Satisfied",IF(K152&gt;=75,"Satisfied",IF(K152&gt;=60,"Neutral","Dissatisfied")))</f>
        <v>Neutral</v>
      </c>
      <c r="R152" s="8" t="str">
        <f aca="false">UPPER(LEFT(TRIM(J152),1))&amp;LOWER(MID(TRIM(J152),2,100))</f>
        <v>Silver</v>
      </c>
      <c r="S152" s="8" t="str">
        <f aca="false">IF(I152="High","Positive",IF(I152="Medium","Neutral","Negative"))</f>
        <v>Neutral</v>
      </c>
      <c r="T152" s="8" t="str">
        <f aca="false">IF(AND(E152&gt;=80000,H152&gt;=15),"Premium",IF(AND(E152&gt;=50000,H152&gt;=10),"Standard","Basic"))</f>
        <v>Basic</v>
      </c>
      <c r="U152" s="8" t="str">
        <f aca="false">IF(AND(F152&gt;=7,G152&gt;=7),"High Quality Experience","Review Needed")</f>
        <v>Review Needed</v>
      </c>
      <c r="V152" s="8" t="str">
        <f aca="false">IF(H152&gt;=10,"Repeat Buyer","Occasional Buyer")</f>
        <v>Occasional Buyer</v>
      </c>
      <c r="W152" s="8" t="str">
        <f aca="false">IF(AND(K152&lt;70,I152="Low"),"At Risk","Stable")</f>
        <v>Stable</v>
      </c>
      <c r="X152" s="8" t="str">
        <f aca="false">IF(AND(K152&lt;75,I152="Low",J152="Bronze"),"Priority Followup","No Action")</f>
        <v>No Action</v>
      </c>
    </row>
    <row r="153" customFormat="false" ht="15" hidden="false" customHeight="false" outlineLevel="0" collapsed="false">
      <c r="A153" s="3" t="n">
        <v>151</v>
      </c>
      <c r="B153" s="3" t="n">
        <v>26</v>
      </c>
      <c r="C153" s="3" t="s">
        <v>11</v>
      </c>
      <c r="D153" s="3" t="s">
        <v>12</v>
      </c>
      <c r="E153" s="3" t="n">
        <v>75022</v>
      </c>
      <c r="F153" s="3" t="n">
        <v>1</v>
      </c>
      <c r="G153" s="3" t="n">
        <v>7</v>
      </c>
      <c r="H153" s="3" t="n">
        <v>12</v>
      </c>
      <c r="I153" s="3" t="s">
        <v>13</v>
      </c>
      <c r="J153" s="3" t="s">
        <v>16</v>
      </c>
      <c r="K153" s="3" t="n">
        <v>55.71</v>
      </c>
      <c r="L153" s="7" t="str">
        <f aca="false">IF(B153&lt;25,"Gen Z",IF(B153&lt;40,"Millennial",IF(B153&lt;55,"Gen X","Baby Boomer")))</f>
        <v>Millennial</v>
      </c>
      <c r="M153" s="7" t="str">
        <f aca="false">IF(E153&lt;50000,"Low Income",IF(E153&lt;80000,"Middle Income",IF(E153&lt;100000,"Upper Middle","High Income")))</f>
        <v>Middle Income</v>
      </c>
      <c r="N153" s="7" t="str">
        <f aca="false">IF(F153&lt;=3,"Poor",IF(F153&lt;=6,"Average",IF(F153&lt;=8,"Good","Excellent")))</f>
        <v>Poor</v>
      </c>
      <c r="O153" s="7" t="str">
        <f aca="false">IF(G153&lt;=3,"Poor",IF(G153&lt;=6,"Average",IF(G153&lt;=8,"Good","Excellent")))</f>
        <v>Good</v>
      </c>
      <c r="P153" s="7" t="str">
        <f aca="false">IF(H153&lt;=5,"Low Frequency",IF(H153&lt;=10,"Moderate",IF(H153&lt;=15,"High","Very High")))</f>
        <v>High</v>
      </c>
      <c r="Q153" s="7" t="str">
        <f aca="false">IF(K153&gt;=90,"Highly Satisfied",IF(K153&gt;=75,"Satisfied",IF(K153&gt;=60,"Neutral","Dissatisfied")))</f>
        <v>Dissatisfied</v>
      </c>
      <c r="R153" s="7" t="str">
        <f aca="false">UPPER(LEFT(TRIM(J153),1))&amp;LOWER(MID(TRIM(J153),2,100))</f>
        <v>Gold</v>
      </c>
      <c r="S153" s="7" t="str">
        <f aca="false">IF(I153="High","Positive",IF(I153="Medium","Neutral","Negative"))</f>
        <v>Negative</v>
      </c>
      <c r="T153" s="7" t="str">
        <f aca="false">IF(AND(E153&gt;=80000,H153&gt;=15),"Premium",IF(AND(E153&gt;=50000,H153&gt;=10),"Standard","Basic"))</f>
        <v>Standard</v>
      </c>
      <c r="U153" s="7" t="str">
        <f aca="false">IF(AND(F153&gt;=7,G153&gt;=7),"High Quality Experience","Review Needed")</f>
        <v>Review Needed</v>
      </c>
      <c r="V153" s="7" t="str">
        <f aca="false">IF(H153&gt;=10,"Repeat Buyer","Occasional Buyer")</f>
        <v>Repeat Buyer</v>
      </c>
      <c r="W153" s="7" t="str">
        <f aca="false">IF(AND(K153&lt;70,I153="Low"),"At Risk","Stable")</f>
        <v>At Risk</v>
      </c>
      <c r="X153" s="7" t="str">
        <f aca="false">IF(AND(K153&lt;75,I153="Low",J153="Bronze"),"Priority Followup","No Action")</f>
        <v>No Action</v>
      </c>
    </row>
    <row r="154" customFormat="false" ht="15" hidden="false" customHeight="false" outlineLevel="0" collapsed="false">
      <c r="A154" s="2" t="n">
        <v>152</v>
      </c>
      <c r="B154" s="2" t="n">
        <v>32</v>
      </c>
      <c r="C154" s="2" t="s">
        <v>11</v>
      </c>
      <c r="D154" s="2" t="s">
        <v>23</v>
      </c>
      <c r="E154" s="2" t="n">
        <v>96759</v>
      </c>
      <c r="F154" s="2" t="n">
        <v>10</v>
      </c>
      <c r="G154" s="2" t="n">
        <v>1</v>
      </c>
      <c r="H154" s="2" t="n">
        <v>9</v>
      </c>
      <c r="I154" s="2" t="s">
        <v>15</v>
      </c>
      <c r="J154" s="2" t="s">
        <v>19</v>
      </c>
      <c r="K154" s="2" t="n">
        <v>89.27</v>
      </c>
      <c r="L154" s="8" t="str">
        <f aca="false">IF(B154&lt;25,"Gen Z",IF(B154&lt;40,"Millennial",IF(B154&lt;55,"Gen X","Baby Boomer")))</f>
        <v>Millennial</v>
      </c>
      <c r="M154" s="8" t="str">
        <f aca="false">IF(E154&lt;50000,"Low Income",IF(E154&lt;80000,"Middle Income",IF(E154&lt;100000,"Upper Middle","High Income")))</f>
        <v>Upper Middle</v>
      </c>
      <c r="N154" s="8" t="str">
        <f aca="false">IF(F154&lt;=3,"Poor",IF(F154&lt;=6,"Average",IF(F154&lt;=8,"Good","Excellent")))</f>
        <v>Excellent</v>
      </c>
      <c r="O154" s="8" t="str">
        <f aca="false">IF(G154&lt;=3,"Poor",IF(G154&lt;=6,"Average",IF(G154&lt;=8,"Good","Excellent")))</f>
        <v>Poor</v>
      </c>
      <c r="P154" s="8" t="str">
        <f aca="false">IF(H154&lt;=5,"Low Frequency",IF(H154&lt;=10,"Moderate",IF(H154&lt;=15,"High","Very High")))</f>
        <v>Moderate</v>
      </c>
      <c r="Q154" s="8" t="str">
        <f aca="false">IF(K154&gt;=90,"Highly Satisfied",IF(K154&gt;=75,"Satisfied",IF(K154&gt;=60,"Neutral","Dissatisfied")))</f>
        <v>Satisfied</v>
      </c>
      <c r="R154" s="8" t="str">
        <f aca="false">UPPER(LEFT(TRIM(J154),1))&amp;LOWER(MID(TRIM(J154),2,100))</f>
        <v>Silver</v>
      </c>
      <c r="S154" s="8" t="str">
        <f aca="false">IF(I154="High","Positive",IF(I154="Medium","Neutral","Negative"))</f>
        <v>Neutral</v>
      </c>
      <c r="T154" s="8" t="str">
        <f aca="false">IF(AND(E154&gt;=80000,H154&gt;=15),"Premium",IF(AND(E154&gt;=50000,H154&gt;=10),"Standard","Basic"))</f>
        <v>Basic</v>
      </c>
      <c r="U154" s="8" t="str">
        <f aca="false">IF(AND(F154&gt;=7,G154&gt;=7),"High Quality Experience","Review Needed")</f>
        <v>Review Needed</v>
      </c>
      <c r="V154" s="8" t="str">
        <f aca="false">IF(H154&gt;=10,"Repeat Buyer","Occasional Buyer")</f>
        <v>Occasional Buyer</v>
      </c>
      <c r="W154" s="8" t="str">
        <f aca="false">IF(AND(K154&lt;70,I154="Low"),"At Risk","Stable")</f>
        <v>Stable</v>
      </c>
      <c r="X154" s="8" t="str">
        <f aca="false">IF(AND(K154&lt;75,I154="Low",J154="Bronze"),"Priority Followup","No Action")</f>
        <v>No Action</v>
      </c>
    </row>
    <row r="155" customFormat="false" ht="15" hidden="false" customHeight="false" outlineLevel="0" collapsed="false">
      <c r="A155" s="3" t="n">
        <v>153</v>
      </c>
      <c r="B155" s="3" t="n">
        <v>32</v>
      </c>
      <c r="C155" s="3" t="s">
        <v>17</v>
      </c>
      <c r="D155" s="3" t="s">
        <v>18</v>
      </c>
      <c r="E155" s="3" t="n">
        <v>114282</v>
      </c>
      <c r="F155" s="3" t="n">
        <v>5</v>
      </c>
      <c r="G155" s="3" t="n">
        <v>2</v>
      </c>
      <c r="H155" s="3" t="n">
        <v>15</v>
      </c>
      <c r="I155" s="3" t="s">
        <v>21</v>
      </c>
      <c r="J155" s="3" t="s">
        <v>14</v>
      </c>
      <c r="K155" s="3" t="n">
        <v>88.23</v>
      </c>
      <c r="L155" s="7" t="str">
        <f aca="false">IF(B155&lt;25,"Gen Z",IF(B155&lt;40,"Millennial",IF(B155&lt;55,"Gen X","Baby Boomer")))</f>
        <v>Millennial</v>
      </c>
      <c r="M155" s="7" t="str">
        <f aca="false">IF(E155&lt;50000,"Low Income",IF(E155&lt;80000,"Middle Income",IF(E155&lt;100000,"Upper Middle","High Income")))</f>
        <v>High Income</v>
      </c>
      <c r="N155" s="7" t="str">
        <f aca="false">IF(F155&lt;=3,"Poor",IF(F155&lt;=6,"Average",IF(F155&lt;=8,"Good","Excellent")))</f>
        <v>Average</v>
      </c>
      <c r="O155" s="7" t="str">
        <f aca="false">IF(G155&lt;=3,"Poor",IF(G155&lt;=6,"Average",IF(G155&lt;=8,"Good","Excellent")))</f>
        <v>Poor</v>
      </c>
      <c r="P155" s="7" t="str">
        <f aca="false">IF(H155&lt;=5,"Low Frequency",IF(H155&lt;=10,"Moderate",IF(H155&lt;=15,"High","Very High")))</f>
        <v>High</v>
      </c>
      <c r="Q155" s="7" t="str">
        <f aca="false">IF(K155&gt;=90,"Highly Satisfied",IF(K155&gt;=75,"Satisfied",IF(K155&gt;=60,"Neutral","Dissatisfied")))</f>
        <v>Satisfied</v>
      </c>
      <c r="R155" s="7" t="str">
        <f aca="false">UPPER(LEFT(TRIM(J155),1))&amp;LOWER(MID(TRIM(J155),2,100))</f>
        <v>Bronze</v>
      </c>
      <c r="S155" s="7" t="str">
        <f aca="false">IF(I155="High","Positive",IF(I155="Medium","Neutral","Negative"))</f>
        <v>Positive</v>
      </c>
      <c r="T155" s="7" t="str">
        <f aca="false">IF(AND(E155&gt;=80000,H155&gt;=15),"Premium",IF(AND(E155&gt;=50000,H155&gt;=10),"Standard","Basic"))</f>
        <v>Premium</v>
      </c>
      <c r="U155" s="7" t="str">
        <f aca="false">IF(AND(F155&gt;=7,G155&gt;=7),"High Quality Experience","Review Needed")</f>
        <v>Review Needed</v>
      </c>
      <c r="V155" s="7" t="str">
        <f aca="false">IF(H155&gt;=10,"Repeat Buyer","Occasional Buyer")</f>
        <v>Repeat Buyer</v>
      </c>
      <c r="W155" s="7" t="str">
        <f aca="false">IF(AND(K155&lt;70,I155="Low"),"At Risk","Stable")</f>
        <v>Stable</v>
      </c>
      <c r="X155" s="7" t="str">
        <f aca="false">IF(AND(K155&lt;75,I155="Low",J155="Bronze"),"Priority Followup","No Action")</f>
        <v>No Action</v>
      </c>
    </row>
    <row r="156" customFormat="false" ht="15" hidden="false" customHeight="false" outlineLevel="0" collapsed="false">
      <c r="A156" s="2" t="n">
        <v>154</v>
      </c>
      <c r="B156" s="2" t="n">
        <v>43</v>
      </c>
      <c r="C156" s="2" t="s">
        <v>17</v>
      </c>
      <c r="D156" s="2" t="s">
        <v>23</v>
      </c>
      <c r="E156" s="2" t="n">
        <v>91845</v>
      </c>
      <c r="F156" s="2" t="n">
        <v>3</v>
      </c>
      <c r="G156" s="2" t="n">
        <v>4</v>
      </c>
      <c r="H156" s="2" t="n">
        <v>11</v>
      </c>
      <c r="I156" s="2" t="s">
        <v>15</v>
      </c>
      <c r="J156" s="2" t="s">
        <v>16</v>
      </c>
      <c r="K156" s="2" t="n">
        <v>70.78</v>
      </c>
      <c r="L156" s="8" t="str">
        <f aca="false">IF(B156&lt;25,"Gen Z",IF(B156&lt;40,"Millennial",IF(B156&lt;55,"Gen X","Baby Boomer")))</f>
        <v>Gen X</v>
      </c>
      <c r="M156" s="8" t="str">
        <f aca="false">IF(E156&lt;50000,"Low Income",IF(E156&lt;80000,"Middle Income",IF(E156&lt;100000,"Upper Middle","High Income")))</f>
        <v>Upper Middle</v>
      </c>
      <c r="N156" s="8" t="str">
        <f aca="false">IF(F156&lt;=3,"Poor",IF(F156&lt;=6,"Average",IF(F156&lt;=8,"Good","Excellent")))</f>
        <v>Poor</v>
      </c>
      <c r="O156" s="8" t="str">
        <f aca="false">IF(G156&lt;=3,"Poor",IF(G156&lt;=6,"Average",IF(G156&lt;=8,"Good","Excellent")))</f>
        <v>Average</v>
      </c>
      <c r="P156" s="8" t="str">
        <f aca="false">IF(H156&lt;=5,"Low Frequency",IF(H156&lt;=10,"Moderate",IF(H156&lt;=15,"High","Very High")))</f>
        <v>High</v>
      </c>
      <c r="Q156" s="8" t="str">
        <f aca="false">IF(K156&gt;=90,"Highly Satisfied",IF(K156&gt;=75,"Satisfied",IF(K156&gt;=60,"Neutral","Dissatisfied")))</f>
        <v>Neutral</v>
      </c>
      <c r="R156" s="8" t="str">
        <f aca="false">UPPER(LEFT(TRIM(J156),1))&amp;LOWER(MID(TRIM(J156),2,100))</f>
        <v>Gold</v>
      </c>
      <c r="S156" s="8" t="str">
        <f aca="false">IF(I156="High","Positive",IF(I156="Medium","Neutral","Negative"))</f>
        <v>Neutral</v>
      </c>
      <c r="T156" s="8" t="str">
        <f aca="false">IF(AND(E156&gt;=80000,H156&gt;=15),"Premium",IF(AND(E156&gt;=50000,H156&gt;=10),"Standard","Basic"))</f>
        <v>Standard</v>
      </c>
      <c r="U156" s="8" t="str">
        <f aca="false">IF(AND(F156&gt;=7,G156&gt;=7),"High Quality Experience","Review Needed")</f>
        <v>Review Needed</v>
      </c>
      <c r="V156" s="8" t="str">
        <f aca="false">IF(H156&gt;=10,"Repeat Buyer","Occasional Buyer")</f>
        <v>Repeat Buyer</v>
      </c>
      <c r="W156" s="8" t="str">
        <f aca="false">IF(AND(K156&lt;70,I156="Low"),"At Risk","Stable")</f>
        <v>Stable</v>
      </c>
      <c r="X156" s="8" t="str">
        <f aca="false">IF(AND(K156&lt;75,I156="Low",J156="Bronze"),"Priority Followup","No Action")</f>
        <v>No Action</v>
      </c>
    </row>
    <row r="157" customFormat="false" ht="15" hidden="false" customHeight="false" outlineLevel="0" collapsed="false">
      <c r="A157" s="3" t="n">
        <v>155</v>
      </c>
      <c r="B157" s="3" t="n">
        <v>59</v>
      </c>
      <c r="C157" s="3" t="s">
        <v>11</v>
      </c>
      <c r="D157" s="3" t="s">
        <v>20</v>
      </c>
      <c r="E157" s="3" t="n">
        <v>104405</v>
      </c>
      <c r="F157" s="3" t="n">
        <v>9</v>
      </c>
      <c r="G157" s="3" t="n">
        <v>3</v>
      </c>
      <c r="H157" s="3" t="n">
        <v>16</v>
      </c>
      <c r="I157" s="3" t="s">
        <v>13</v>
      </c>
      <c r="J157" s="3" t="s">
        <v>16</v>
      </c>
      <c r="K157" s="3" t="n">
        <v>100</v>
      </c>
      <c r="L157" s="7" t="str">
        <f aca="false">IF(B157&lt;25,"Gen Z",IF(B157&lt;40,"Millennial",IF(B157&lt;55,"Gen X","Baby Boomer")))</f>
        <v>Baby Boomer</v>
      </c>
      <c r="M157" s="7" t="str">
        <f aca="false">IF(E157&lt;50000,"Low Income",IF(E157&lt;80000,"Middle Income",IF(E157&lt;100000,"Upper Middle","High Income")))</f>
        <v>High Income</v>
      </c>
      <c r="N157" s="7" t="str">
        <f aca="false">IF(F157&lt;=3,"Poor",IF(F157&lt;=6,"Average",IF(F157&lt;=8,"Good","Excellent")))</f>
        <v>Excellent</v>
      </c>
      <c r="O157" s="7" t="str">
        <f aca="false">IF(G157&lt;=3,"Poor",IF(G157&lt;=6,"Average",IF(G157&lt;=8,"Good","Excellent")))</f>
        <v>Poor</v>
      </c>
      <c r="P157" s="7" t="str">
        <f aca="false">IF(H157&lt;=5,"Low Frequency",IF(H157&lt;=10,"Moderate",IF(H157&lt;=15,"High","Very High")))</f>
        <v>Very High</v>
      </c>
      <c r="Q157" s="7" t="str">
        <f aca="false">IF(K157&gt;=90,"Highly Satisfied",IF(K157&gt;=75,"Satisfied",IF(K157&gt;=60,"Neutral","Dissatisfied")))</f>
        <v>Highly Satisfied</v>
      </c>
      <c r="R157" s="7" t="str">
        <f aca="false">UPPER(LEFT(TRIM(J157),1))&amp;LOWER(MID(TRIM(J157),2,100))</f>
        <v>Gold</v>
      </c>
      <c r="S157" s="7" t="str">
        <f aca="false">IF(I157="High","Positive",IF(I157="Medium","Neutral","Negative"))</f>
        <v>Negative</v>
      </c>
      <c r="T157" s="7" t="str">
        <f aca="false">IF(AND(E157&gt;=80000,H157&gt;=15),"Premium",IF(AND(E157&gt;=50000,H157&gt;=10),"Standard","Basic"))</f>
        <v>Premium</v>
      </c>
      <c r="U157" s="7" t="str">
        <f aca="false">IF(AND(F157&gt;=7,G157&gt;=7),"High Quality Experience","Review Needed")</f>
        <v>Review Needed</v>
      </c>
      <c r="V157" s="7" t="str">
        <f aca="false">IF(H157&gt;=10,"Repeat Buyer","Occasional Buyer")</f>
        <v>Repeat Buyer</v>
      </c>
      <c r="W157" s="7" t="str">
        <f aca="false">IF(AND(K157&lt;70,I157="Low"),"At Risk","Stable")</f>
        <v>Stable</v>
      </c>
      <c r="X157" s="7" t="str">
        <f aca="false">IF(AND(K157&lt;75,I157="Low",J157="Bronze"),"Priority Followup","No Action")</f>
        <v>No Action</v>
      </c>
    </row>
    <row r="158" customFormat="false" ht="15" hidden="false" customHeight="false" outlineLevel="0" collapsed="false">
      <c r="A158" s="2" t="n">
        <v>156</v>
      </c>
      <c r="B158" s="2" t="n">
        <v>30</v>
      </c>
      <c r="C158" s="2" t="s">
        <v>17</v>
      </c>
      <c r="D158" s="2" t="s">
        <v>20</v>
      </c>
      <c r="E158" s="2" t="n">
        <v>36871</v>
      </c>
      <c r="F158" s="2" t="n">
        <v>7</v>
      </c>
      <c r="G158" s="2" t="n">
        <v>5</v>
      </c>
      <c r="H158" s="2" t="n">
        <v>5</v>
      </c>
      <c r="I158" s="2" t="s">
        <v>15</v>
      </c>
      <c r="J158" s="2" t="s">
        <v>14</v>
      </c>
      <c r="K158" s="2" t="n">
        <v>88.46</v>
      </c>
      <c r="L158" s="8" t="str">
        <f aca="false">IF(B158&lt;25,"Gen Z",IF(B158&lt;40,"Millennial",IF(B158&lt;55,"Gen X","Baby Boomer")))</f>
        <v>Millennial</v>
      </c>
      <c r="M158" s="8" t="str">
        <f aca="false">IF(E158&lt;50000,"Low Income",IF(E158&lt;80000,"Middle Income",IF(E158&lt;100000,"Upper Middle","High Income")))</f>
        <v>Low Income</v>
      </c>
      <c r="N158" s="8" t="str">
        <f aca="false">IF(F158&lt;=3,"Poor",IF(F158&lt;=6,"Average",IF(F158&lt;=8,"Good","Excellent")))</f>
        <v>Good</v>
      </c>
      <c r="O158" s="8" t="str">
        <f aca="false">IF(G158&lt;=3,"Poor",IF(G158&lt;=6,"Average",IF(G158&lt;=8,"Good","Excellent")))</f>
        <v>Average</v>
      </c>
      <c r="P158" s="8" t="str">
        <f aca="false">IF(H158&lt;=5,"Low Frequency",IF(H158&lt;=10,"Moderate",IF(H158&lt;=15,"High","Very High")))</f>
        <v>Low Frequency</v>
      </c>
      <c r="Q158" s="8" t="str">
        <f aca="false">IF(K158&gt;=90,"Highly Satisfied",IF(K158&gt;=75,"Satisfied",IF(K158&gt;=60,"Neutral","Dissatisfied")))</f>
        <v>Satisfied</v>
      </c>
      <c r="R158" s="8" t="str">
        <f aca="false">UPPER(LEFT(TRIM(J158),1))&amp;LOWER(MID(TRIM(J158),2,100))</f>
        <v>Bronze</v>
      </c>
      <c r="S158" s="8" t="str">
        <f aca="false">IF(I158="High","Positive",IF(I158="Medium","Neutral","Negative"))</f>
        <v>Neutral</v>
      </c>
      <c r="T158" s="8" t="str">
        <f aca="false">IF(AND(E158&gt;=80000,H158&gt;=15),"Premium",IF(AND(E158&gt;=50000,H158&gt;=10),"Standard","Basic"))</f>
        <v>Basic</v>
      </c>
      <c r="U158" s="8" t="str">
        <f aca="false">IF(AND(F158&gt;=7,G158&gt;=7),"High Quality Experience","Review Needed")</f>
        <v>Review Needed</v>
      </c>
      <c r="V158" s="8" t="str">
        <f aca="false">IF(H158&gt;=10,"Repeat Buyer","Occasional Buyer")</f>
        <v>Occasional Buyer</v>
      </c>
      <c r="W158" s="8" t="str">
        <f aca="false">IF(AND(K158&lt;70,I158="Low"),"At Risk","Stable")</f>
        <v>Stable</v>
      </c>
      <c r="X158" s="8" t="str">
        <f aca="false">IF(AND(K158&lt;75,I158="Low",J158="Bronze"),"Priority Followup","No Action")</f>
        <v>No Action</v>
      </c>
    </row>
    <row r="159" customFormat="false" ht="15" hidden="false" customHeight="false" outlineLevel="0" collapsed="false">
      <c r="A159" s="3" t="n">
        <v>157</v>
      </c>
      <c r="B159" s="3" t="n">
        <v>68</v>
      </c>
      <c r="C159" s="3" t="s">
        <v>17</v>
      </c>
      <c r="D159" s="3" t="s">
        <v>22</v>
      </c>
      <c r="E159" s="3" t="n">
        <v>73294</v>
      </c>
      <c r="F159" s="3" t="n">
        <v>4</v>
      </c>
      <c r="G159" s="3" t="n">
        <v>10</v>
      </c>
      <c r="H159" s="3" t="n">
        <v>3</v>
      </c>
      <c r="I159" s="3" t="s">
        <v>15</v>
      </c>
      <c r="J159" s="3" t="s">
        <v>16</v>
      </c>
      <c r="K159" s="3" t="n">
        <v>100</v>
      </c>
      <c r="L159" s="7" t="str">
        <f aca="false">IF(B159&lt;25,"Gen Z",IF(B159&lt;40,"Millennial",IF(B159&lt;55,"Gen X","Baby Boomer")))</f>
        <v>Baby Boomer</v>
      </c>
      <c r="M159" s="7" t="str">
        <f aca="false">IF(E159&lt;50000,"Low Income",IF(E159&lt;80000,"Middle Income",IF(E159&lt;100000,"Upper Middle","High Income")))</f>
        <v>Middle Income</v>
      </c>
      <c r="N159" s="7" t="str">
        <f aca="false">IF(F159&lt;=3,"Poor",IF(F159&lt;=6,"Average",IF(F159&lt;=8,"Good","Excellent")))</f>
        <v>Average</v>
      </c>
      <c r="O159" s="7" t="str">
        <f aca="false">IF(G159&lt;=3,"Poor",IF(G159&lt;=6,"Average",IF(G159&lt;=8,"Good","Excellent")))</f>
        <v>Excellent</v>
      </c>
      <c r="P159" s="7" t="str">
        <f aca="false">IF(H159&lt;=5,"Low Frequency",IF(H159&lt;=10,"Moderate",IF(H159&lt;=15,"High","Very High")))</f>
        <v>Low Frequency</v>
      </c>
      <c r="Q159" s="7" t="str">
        <f aca="false">IF(K159&gt;=90,"Highly Satisfied",IF(K159&gt;=75,"Satisfied",IF(K159&gt;=60,"Neutral","Dissatisfied")))</f>
        <v>Highly Satisfied</v>
      </c>
      <c r="R159" s="7" t="str">
        <f aca="false">UPPER(LEFT(TRIM(J159),1))&amp;LOWER(MID(TRIM(J159),2,100))</f>
        <v>Gold</v>
      </c>
      <c r="S159" s="7" t="str">
        <f aca="false">IF(I159="High","Positive",IF(I159="Medium","Neutral","Negative"))</f>
        <v>Neutral</v>
      </c>
      <c r="T159" s="7" t="str">
        <f aca="false">IF(AND(E159&gt;=80000,H159&gt;=15),"Premium",IF(AND(E159&gt;=50000,H159&gt;=10),"Standard","Basic"))</f>
        <v>Basic</v>
      </c>
      <c r="U159" s="7" t="str">
        <f aca="false">IF(AND(F159&gt;=7,G159&gt;=7),"High Quality Experience","Review Needed")</f>
        <v>Review Needed</v>
      </c>
      <c r="V159" s="7" t="str">
        <f aca="false">IF(H159&gt;=10,"Repeat Buyer","Occasional Buyer")</f>
        <v>Occasional Buyer</v>
      </c>
      <c r="W159" s="7" t="str">
        <f aca="false">IF(AND(K159&lt;70,I159="Low"),"At Risk","Stable")</f>
        <v>Stable</v>
      </c>
      <c r="X159" s="7" t="str">
        <f aca="false">IF(AND(K159&lt;75,I159="Low",J159="Bronze"),"Priority Followup","No Action")</f>
        <v>No Action</v>
      </c>
    </row>
    <row r="160" customFormat="false" ht="15" hidden="false" customHeight="false" outlineLevel="0" collapsed="false">
      <c r="A160" s="2" t="n">
        <v>158</v>
      </c>
      <c r="B160" s="2" t="n">
        <v>49</v>
      </c>
      <c r="C160" s="2" t="s">
        <v>11</v>
      </c>
      <c r="D160" s="2" t="s">
        <v>18</v>
      </c>
      <c r="E160" s="2" t="n">
        <v>86112</v>
      </c>
      <c r="F160" s="2" t="n">
        <v>5</v>
      </c>
      <c r="G160" s="2" t="n">
        <v>8</v>
      </c>
      <c r="H160" s="2" t="n">
        <v>1</v>
      </c>
      <c r="I160" s="2" t="s">
        <v>13</v>
      </c>
      <c r="J160" s="2" t="s">
        <v>16</v>
      </c>
      <c r="K160" s="2" t="n">
        <v>100</v>
      </c>
      <c r="L160" s="8" t="str">
        <f aca="false">IF(B160&lt;25,"Gen Z",IF(B160&lt;40,"Millennial",IF(B160&lt;55,"Gen X","Baby Boomer")))</f>
        <v>Gen X</v>
      </c>
      <c r="M160" s="8" t="str">
        <f aca="false">IF(E160&lt;50000,"Low Income",IF(E160&lt;80000,"Middle Income",IF(E160&lt;100000,"Upper Middle","High Income")))</f>
        <v>Upper Middle</v>
      </c>
      <c r="N160" s="8" t="str">
        <f aca="false">IF(F160&lt;=3,"Poor",IF(F160&lt;=6,"Average",IF(F160&lt;=8,"Good","Excellent")))</f>
        <v>Average</v>
      </c>
      <c r="O160" s="8" t="str">
        <f aca="false">IF(G160&lt;=3,"Poor",IF(G160&lt;=6,"Average",IF(G160&lt;=8,"Good","Excellent")))</f>
        <v>Good</v>
      </c>
      <c r="P160" s="8" t="str">
        <f aca="false">IF(H160&lt;=5,"Low Frequency",IF(H160&lt;=10,"Moderate",IF(H160&lt;=15,"High","Very High")))</f>
        <v>Low Frequency</v>
      </c>
      <c r="Q160" s="8" t="str">
        <f aca="false">IF(K160&gt;=90,"Highly Satisfied",IF(K160&gt;=75,"Satisfied",IF(K160&gt;=60,"Neutral","Dissatisfied")))</f>
        <v>Highly Satisfied</v>
      </c>
      <c r="R160" s="8" t="str">
        <f aca="false">UPPER(LEFT(TRIM(J160),1))&amp;LOWER(MID(TRIM(J160),2,100))</f>
        <v>Gold</v>
      </c>
      <c r="S160" s="8" t="str">
        <f aca="false">IF(I160="High","Positive",IF(I160="Medium","Neutral","Negative"))</f>
        <v>Negative</v>
      </c>
      <c r="T160" s="8" t="str">
        <f aca="false">IF(AND(E160&gt;=80000,H160&gt;=15),"Premium",IF(AND(E160&gt;=50000,H160&gt;=10),"Standard","Basic"))</f>
        <v>Basic</v>
      </c>
      <c r="U160" s="8" t="str">
        <f aca="false">IF(AND(F160&gt;=7,G160&gt;=7),"High Quality Experience","Review Needed")</f>
        <v>Review Needed</v>
      </c>
      <c r="V160" s="8" t="str">
        <f aca="false">IF(H160&gt;=10,"Repeat Buyer","Occasional Buyer")</f>
        <v>Occasional Buyer</v>
      </c>
      <c r="W160" s="8" t="str">
        <f aca="false">IF(AND(K160&lt;70,I160="Low"),"At Risk","Stable")</f>
        <v>Stable</v>
      </c>
      <c r="X160" s="8" t="str">
        <f aca="false">IF(AND(K160&lt;75,I160="Low",J160="Bronze"),"Priority Followup","No Action")</f>
        <v>No Action</v>
      </c>
    </row>
    <row r="161" customFormat="false" ht="15" hidden="false" customHeight="false" outlineLevel="0" collapsed="false">
      <c r="A161" s="3" t="n">
        <v>159</v>
      </c>
      <c r="B161" s="3" t="n">
        <v>56</v>
      </c>
      <c r="C161" s="3" t="s">
        <v>17</v>
      </c>
      <c r="D161" s="3" t="s">
        <v>12</v>
      </c>
      <c r="E161" s="3" t="n">
        <v>50403</v>
      </c>
      <c r="F161" s="3" t="n">
        <v>9</v>
      </c>
      <c r="G161" s="3" t="n">
        <v>5</v>
      </c>
      <c r="H161" s="3" t="n">
        <v>13</v>
      </c>
      <c r="I161" s="3" t="s">
        <v>15</v>
      </c>
      <c r="J161" s="3" t="s">
        <v>14</v>
      </c>
      <c r="K161" s="3" t="n">
        <v>100</v>
      </c>
      <c r="L161" s="7" t="str">
        <f aca="false">IF(B161&lt;25,"Gen Z",IF(B161&lt;40,"Millennial",IF(B161&lt;55,"Gen X","Baby Boomer")))</f>
        <v>Baby Boomer</v>
      </c>
      <c r="M161" s="7" t="str">
        <f aca="false">IF(E161&lt;50000,"Low Income",IF(E161&lt;80000,"Middle Income",IF(E161&lt;100000,"Upper Middle","High Income")))</f>
        <v>Middle Income</v>
      </c>
      <c r="N161" s="7" t="str">
        <f aca="false">IF(F161&lt;=3,"Poor",IF(F161&lt;=6,"Average",IF(F161&lt;=8,"Good","Excellent")))</f>
        <v>Excellent</v>
      </c>
      <c r="O161" s="7" t="str">
        <f aca="false">IF(G161&lt;=3,"Poor",IF(G161&lt;=6,"Average",IF(G161&lt;=8,"Good","Excellent")))</f>
        <v>Average</v>
      </c>
      <c r="P161" s="7" t="str">
        <f aca="false">IF(H161&lt;=5,"Low Frequency",IF(H161&lt;=10,"Moderate",IF(H161&lt;=15,"High","Very High")))</f>
        <v>High</v>
      </c>
      <c r="Q161" s="7" t="str">
        <f aca="false">IF(K161&gt;=90,"Highly Satisfied",IF(K161&gt;=75,"Satisfied",IF(K161&gt;=60,"Neutral","Dissatisfied")))</f>
        <v>Highly Satisfied</v>
      </c>
      <c r="R161" s="7" t="str">
        <f aca="false">UPPER(LEFT(TRIM(J161),1))&amp;LOWER(MID(TRIM(J161),2,100))</f>
        <v>Bronze</v>
      </c>
      <c r="S161" s="7" t="str">
        <f aca="false">IF(I161="High","Positive",IF(I161="Medium","Neutral","Negative"))</f>
        <v>Neutral</v>
      </c>
      <c r="T161" s="7" t="str">
        <f aca="false">IF(AND(E161&gt;=80000,H161&gt;=15),"Premium",IF(AND(E161&gt;=50000,H161&gt;=10),"Standard","Basic"))</f>
        <v>Standard</v>
      </c>
      <c r="U161" s="7" t="str">
        <f aca="false">IF(AND(F161&gt;=7,G161&gt;=7),"High Quality Experience","Review Needed")</f>
        <v>Review Needed</v>
      </c>
      <c r="V161" s="7" t="str">
        <f aca="false">IF(H161&gt;=10,"Repeat Buyer","Occasional Buyer")</f>
        <v>Repeat Buyer</v>
      </c>
      <c r="W161" s="7" t="str">
        <f aca="false">IF(AND(K161&lt;70,I161="Low"),"At Risk","Stable")</f>
        <v>Stable</v>
      </c>
      <c r="X161" s="7" t="str">
        <f aca="false">IF(AND(K161&lt;75,I161="Low",J161="Bronze"),"Priority Followup","No Action")</f>
        <v>No Action</v>
      </c>
    </row>
    <row r="162" customFormat="false" ht="15" hidden="false" customHeight="false" outlineLevel="0" collapsed="false">
      <c r="A162" s="2" t="n">
        <v>160</v>
      </c>
      <c r="B162" s="2" t="n">
        <v>66</v>
      </c>
      <c r="C162" s="2" t="s">
        <v>11</v>
      </c>
      <c r="D162" s="2" t="s">
        <v>18</v>
      </c>
      <c r="E162" s="2" t="n">
        <v>49312</v>
      </c>
      <c r="F162" s="2" t="n">
        <v>4</v>
      </c>
      <c r="G162" s="2" t="n">
        <v>2</v>
      </c>
      <c r="H162" s="2" t="n">
        <v>7</v>
      </c>
      <c r="I162" s="2" t="s">
        <v>13</v>
      </c>
      <c r="J162" s="2" t="s">
        <v>19</v>
      </c>
      <c r="K162" s="2" t="n">
        <v>69.68</v>
      </c>
      <c r="L162" s="8" t="str">
        <f aca="false">IF(B162&lt;25,"Gen Z",IF(B162&lt;40,"Millennial",IF(B162&lt;55,"Gen X","Baby Boomer")))</f>
        <v>Baby Boomer</v>
      </c>
      <c r="M162" s="8" t="str">
        <f aca="false">IF(E162&lt;50000,"Low Income",IF(E162&lt;80000,"Middle Income",IF(E162&lt;100000,"Upper Middle","High Income")))</f>
        <v>Low Income</v>
      </c>
      <c r="N162" s="8" t="str">
        <f aca="false">IF(F162&lt;=3,"Poor",IF(F162&lt;=6,"Average",IF(F162&lt;=8,"Good","Excellent")))</f>
        <v>Average</v>
      </c>
      <c r="O162" s="8" t="str">
        <f aca="false">IF(G162&lt;=3,"Poor",IF(G162&lt;=6,"Average",IF(G162&lt;=8,"Good","Excellent")))</f>
        <v>Poor</v>
      </c>
      <c r="P162" s="8" t="str">
        <f aca="false">IF(H162&lt;=5,"Low Frequency",IF(H162&lt;=10,"Moderate",IF(H162&lt;=15,"High","Very High")))</f>
        <v>Moderate</v>
      </c>
      <c r="Q162" s="8" t="str">
        <f aca="false">IF(K162&gt;=90,"Highly Satisfied",IF(K162&gt;=75,"Satisfied",IF(K162&gt;=60,"Neutral","Dissatisfied")))</f>
        <v>Neutral</v>
      </c>
      <c r="R162" s="8" t="str">
        <f aca="false">UPPER(LEFT(TRIM(J162),1))&amp;LOWER(MID(TRIM(J162),2,100))</f>
        <v>Silver</v>
      </c>
      <c r="S162" s="8" t="str">
        <f aca="false">IF(I162="High","Positive",IF(I162="Medium","Neutral","Negative"))</f>
        <v>Negative</v>
      </c>
      <c r="T162" s="8" t="str">
        <f aca="false">IF(AND(E162&gt;=80000,H162&gt;=15),"Premium",IF(AND(E162&gt;=50000,H162&gt;=10),"Standard","Basic"))</f>
        <v>Basic</v>
      </c>
      <c r="U162" s="8" t="str">
        <f aca="false">IF(AND(F162&gt;=7,G162&gt;=7),"High Quality Experience","Review Needed")</f>
        <v>Review Needed</v>
      </c>
      <c r="V162" s="8" t="str">
        <f aca="false">IF(H162&gt;=10,"Repeat Buyer","Occasional Buyer")</f>
        <v>Occasional Buyer</v>
      </c>
      <c r="W162" s="8" t="str">
        <f aca="false">IF(AND(K162&lt;70,I162="Low"),"At Risk","Stable")</f>
        <v>At Risk</v>
      </c>
      <c r="X162" s="8" t="str">
        <f aca="false">IF(AND(K162&lt;75,I162="Low",J162="Bronze"),"Priority Followup","No Action")</f>
        <v>No Action</v>
      </c>
    </row>
    <row r="163" customFormat="false" ht="15" hidden="false" customHeight="false" outlineLevel="0" collapsed="false">
      <c r="A163" s="3" t="n">
        <v>161</v>
      </c>
      <c r="B163" s="3" t="n">
        <v>69</v>
      </c>
      <c r="C163" s="3" t="s">
        <v>17</v>
      </c>
      <c r="D163" s="3" t="s">
        <v>22</v>
      </c>
      <c r="E163" s="3" t="n">
        <v>95901</v>
      </c>
      <c r="F163" s="3" t="n">
        <v>7</v>
      </c>
      <c r="G163" s="3" t="n">
        <v>8</v>
      </c>
      <c r="H163" s="3" t="n">
        <v>9</v>
      </c>
      <c r="I163" s="3" t="s">
        <v>13</v>
      </c>
      <c r="J163" s="3" t="s">
        <v>19</v>
      </c>
      <c r="K163" s="3" t="n">
        <v>100</v>
      </c>
      <c r="L163" s="7" t="str">
        <f aca="false">IF(B163&lt;25,"Gen Z",IF(B163&lt;40,"Millennial",IF(B163&lt;55,"Gen X","Baby Boomer")))</f>
        <v>Baby Boomer</v>
      </c>
      <c r="M163" s="7" t="str">
        <f aca="false">IF(E163&lt;50000,"Low Income",IF(E163&lt;80000,"Middle Income",IF(E163&lt;100000,"Upper Middle","High Income")))</f>
        <v>Upper Middle</v>
      </c>
      <c r="N163" s="7" t="str">
        <f aca="false">IF(F163&lt;=3,"Poor",IF(F163&lt;=6,"Average",IF(F163&lt;=8,"Good","Excellent")))</f>
        <v>Good</v>
      </c>
      <c r="O163" s="7" t="str">
        <f aca="false">IF(G163&lt;=3,"Poor",IF(G163&lt;=6,"Average",IF(G163&lt;=8,"Good","Excellent")))</f>
        <v>Good</v>
      </c>
      <c r="P163" s="7" t="str">
        <f aca="false">IF(H163&lt;=5,"Low Frequency",IF(H163&lt;=10,"Moderate",IF(H163&lt;=15,"High","Very High")))</f>
        <v>Moderate</v>
      </c>
      <c r="Q163" s="7" t="str">
        <f aca="false">IF(K163&gt;=90,"Highly Satisfied",IF(K163&gt;=75,"Satisfied",IF(K163&gt;=60,"Neutral","Dissatisfied")))</f>
        <v>Highly Satisfied</v>
      </c>
      <c r="R163" s="7" t="str">
        <f aca="false">UPPER(LEFT(TRIM(J163),1))&amp;LOWER(MID(TRIM(J163),2,100))</f>
        <v>Silver</v>
      </c>
      <c r="S163" s="7" t="str">
        <f aca="false">IF(I163="High","Positive",IF(I163="Medium","Neutral","Negative"))</f>
        <v>Negative</v>
      </c>
      <c r="T163" s="7" t="str">
        <f aca="false">IF(AND(E163&gt;=80000,H163&gt;=15),"Premium",IF(AND(E163&gt;=50000,H163&gt;=10),"Standard","Basic"))</f>
        <v>Basic</v>
      </c>
      <c r="U163" s="7" t="str">
        <f aca="false">IF(AND(F163&gt;=7,G163&gt;=7),"High Quality Experience","Review Needed")</f>
        <v>High Quality Experience</v>
      </c>
      <c r="V163" s="7" t="str">
        <f aca="false">IF(H163&gt;=10,"Repeat Buyer","Occasional Buyer")</f>
        <v>Occasional Buyer</v>
      </c>
      <c r="W163" s="7" t="str">
        <f aca="false">IF(AND(K163&lt;70,I163="Low"),"At Risk","Stable")</f>
        <v>Stable</v>
      </c>
      <c r="X163" s="7" t="str">
        <f aca="false">IF(AND(K163&lt;75,I163="Low",J163="Bronze"),"Priority Followup","No Action")</f>
        <v>No Action</v>
      </c>
    </row>
    <row r="164" customFormat="false" ht="15" hidden="false" customHeight="false" outlineLevel="0" collapsed="false">
      <c r="A164" s="2" t="n">
        <v>162</v>
      </c>
      <c r="B164" s="2" t="n">
        <v>49</v>
      </c>
      <c r="C164" s="2" t="s">
        <v>17</v>
      </c>
      <c r="D164" s="2" t="s">
        <v>12</v>
      </c>
      <c r="E164" s="2" t="n">
        <v>59912</v>
      </c>
      <c r="F164" s="2" t="n">
        <v>5</v>
      </c>
      <c r="G164" s="2" t="n">
        <v>9</v>
      </c>
      <c r="H164" s="2" t="n">
        <v>1</v>
      </c>
      <c r="I164" s="2" t="s">
        <v>15</v>
      </c>
      <c r="J164" s="2" t="s">
        <v>14</v>
      </c>
      <c r="K164" s="2" t="n">
        <v>100</v>
      </c>
      <c r="L164" s="8" t="str">
        <f aca="false">IF(B164&lt;25,"Gen Z",IF(B164&lt;40,"Millennial",IF(B164&lt;55,"Gen X","Baby Boomer")))</f>
        <v>Gen X</v>
      </c>
      <c r="M164" s="8" t="str">
        <f aca="false">IF(E164&lt;50000,"Low Income",IF(E164&lt;80000,"Middle Income",IF(E164&lt;100000,"Upper Middle","High Income")))</f>
        <v>Middle Income</v>
      </c>
      <c r="N164" s="8" t="str">
        <f aca="false">IF(F164&lt;=3,"Poor",IF(F164&lt;=6,"Average",IF(F164&lt;=8,"Good","Excellent")))</f>
        <v>Average</v>
      </c>
      <c r="O164" s="8" t="str">
        <f aca="false">IF(G164&lt;=3,"Poor",IF(G164&lt;=6,"Average",IF(G164&lt;=8,"Good","Excellent")))</f>
        <v>Excellent</v>
      </c>
      <c r="P164" s="8" t="str">
        <f aca="false">IF(H164&lt;=5,"Low Frequency",IF(H164&lt;=10,"Moderate",IF(H164&lt;=15,"High","Very High")))</f>
        <v>Low Frequency</v>
      </c>
      <c r="Q164" s="8" t="str">
        <f aca="false">IF(K164&gt;=90,"Highly Satisfied",IF(K164&gt;=75,"Satisfied",IF(K164&gt;=60,"Neutral","Dissatisfied")))</f>
        <v>Highly Satisfied</v>
      </c>
      <c r="R164" s="8" t="str">
        <f aca="false">UPPER(LEFT(TRIM(J164),1))&amp;LOWER(MID(TRIM(J164),2,100))</f>
        <v>Bronze</v>
      </c>
      <c r="S164" s="8" t="str">
        <f aca="false">IF(I164="High","Positive",IF(I164="Medium","Neutral","Negative"))</f>
        <v>Neutral</v>
      </c>
      <c r="T164" s="8" t="str">
        <f aca="false">IF(AND(E164&gt;=80000,H164&gt;=15),"Premium",IF(AND(E164&gt;=50000,H164&gt;=10),"Standard","Basic"))</f>
        <v>Basic</v>
      </c>
      <c r="U164" s="8" t="str">
        <f aca="false">IF(AND(F164&gt;=7,G164&gt;=7),"High Quality Experience","Review Needed")</f>
        <v>Review Needed</v>
      </c>
      <c r="V164" s="8" t="str">
        <f aca="false">IF(H164&gt;=10,"Repeat Buyer","Occasional Buyer")</f>
        <v>Occasional Buyer</v>
      </c>
      <c r="W164" s="8" t="str">
        <f aca="false">IF(AND(K164&lt;70,I164="Low"),"At Risk","Stable")</f>
        <v>Stable</v>
      </c>
      <c r="X164" s="8" t="str">
        <f aca="false">IF(AND(K164&lt;75,I164="Low",J164="Bronze"),"Priority Followup","No Action")</f>
        <v>No Action</v>
      </c>
    </row>
    <row r="165" customFormat="false" ht="15" hidden="false" customHeight="false" outlineLevel="0" collapsed="false">
      <c r="A165" s="3" t="n">
        <v>163</v>
      </c>
      <c r="B165" s="3" t="n">
        <v>21</v>
      </c>
      <c r="C165" s="3" t="s">
        <v>11</v>
      </c>
      <c r="D165" s="3" t="s">
        <v>23</v>
      </c>
      <c r="E165" s="3" t="n">
        <v>64783</v>
      </c>
      <c r="F165" s="3" t="n">
        <v>1</v>
      </c>
      <c r="G165" s="3" t="n">
        <v>1</v>
      </c>
      <c r="H165" s="3" t="n">
        <v>2</v>
      </c>
      <c r="I165" s="3" t="s">
        <v>13</v>
      </c>
      <c r="J165" s="3" t="s">
        <v>14</v>
      </c>
      <c r="K165" s="3" t="n">
        <v>29.03</v>
      </c>
      <c r="L165" s="7" t="str">
        <f aca="false">IF(B165&lt;25,"Gen Z",IF(B165&lt;40,"Millennial",IF(B165&lt;55,"Gen X","Baby Boomer")))</f>
        <v>Gen Z</v>
      </c>
      <c r="M165" s="7" t="str">
        <f aca="false">IF(E165&lt;50000,"Low Income",IF(E165&lt;80000,"Middle Income",IF(E165&lt;100000,"Upper Middle","High Income")))</f>
        <v>Middle Income</v>
      </c>
      <c r="N165" s="7" t="str">
        <f aca="false">IF(F165&lt;=3,"Poor",IF(F165&lt;=6,"Average",IF(F165&lt;=8,"Good","Excellent")))</f>
        <v>Poor</v>
      </c>
      <c r="O165" s="7" t="str">
        <f aca="false">IF(G165&lt;=3,"Poor",IF(G165&lt;=6,"Average",IF(G165&lt;=8,"Good","Excellent")))</f>
        <v>Poor</v>
      </c>
      <c r="P165" s="7" t="str">
        <f aca="false">IF(H165&lt;=5,"Low Frequency",IF(H165&lt;=10,"Moderate",IF(H165&lt;=15,"High","Very High")))</f>
        <v>Low Frequency</v>
      </c>
      <c r="Q165" s="7" t="str">
        <f aca="false">IF(K165&gt;=90,"Highly Satisfied",IF(K165&gt;=75,"Satisfied",IF(K165&gt;=60,"Neutral","Dissatisfied")))</f>
        <v>Dissatisfied</v>
      </c>
      <c r="R165" s="7" t="str">
        <f aca="false">UPPER(LEFT(TRIM(J165),1))&amp;LOWER(MID(TRIM(J165),2,100))</f>
        <v>Bronze</v>
      </c>
      <c r="S165" s="7" t="str">
        <f aca="false">IF(I165="High","Positive",IF(I165="Medium","Neutral","Negative"))</f>
        <v>Negative</v>
      </c>
      <c r="T165" s="7" t="str">
        <f aca="false">IF(AND(E165&gt;=80000,H165&gt;=15),"Premium",IF(AND(E165&gt;=50000,H165&gt;=10),"Standard","Basic"))</f>
        <v>Basic</v>
      </c>
      <c r="U165" s="7" t="str">
        <f aca="false">IF(AND(F165&gt;=7,G165&gt;=7),"High Quality Experience","Review Needed")</f>
        <v>Review Needed</v>
      </c>
      <c r="V165" s="7" t="str">
        <f aca="false">IF(H165&gt;=10,"Repeat Buyer","Occasional Buyer")</f>
        <v>Occasional Buyer</v>
      </c>
      <c r="W165" s="7" t="str">
        <f aca="false">IF(AND(K165&lt;70,I165="Low"),"At Risk","Stable")</f>
        <v>At Risk</v>
      </c>
      <c r="X165" s="7" t="str">
        <f aca="false">IF(AND(K165&lt;75,I165="Low",J165="Bronze"),"Priority Followup","No Action")</f>
        <v>Priority Followup</v>
      </c>
    </row>
    <row r="166" customFormat="false" ht="15" hidden="false" customHeight="false" outlineLevel="0" collapsed="false">
      <c r="A166" s="2" t="n">
        <v>164</v>
      </c>
      <c r="B166" s="2" t="n">
        <v>47</v>
      </c>
      <c r="C166" s="2" t="s">
        <v>11</v>
      </c>
      <c r="D166" s="2" t="s">
        <v>12</v>
      </c>
      <c r="E166" s="2" t="n">
        <v>48172</v>
      </c>
      <c r="F166" s="2" t="n">
        <v>1</v>
      </c>
      <c r="G166" s="2" t="n">
        <v>8</v>
      </c>
      <c r="H166" s="2" t="n">
        <v>5</v>
      </c>
      <c r="I166" s="2" t="s">
        <v>13</v>
      </c>
      <c r="J166" s="2" t="s">
        <v>19</v>
      </c>
      <c r="K166" s="2" t="n">
        <v>73.46</v>
      </c>
      <c r="L166" s="8" t="str">
        <f aca="false">IF(B166&lt;25,"Gen Z",IF(B166&lt;40,"Millennial",IF(B166&lt;55,"Gen X","Baby Boomer")))</f>
        <v>Gen X</v>
      </c>
      <c r="M166" s="8" t="str">
        <f aca="false">IF(E166&lt;50000,"Low Income",IF(E166&lt;80000,"Middle Income",IF(E166&lt;100000,"Upper Middle","High Income")))</f>
        <v>Low Income</v>
      </c>
      <c r="N166" s="8" t="str">
        <f aca="false">IF(F166&lt;=3,"Poor",IF(F166&lt;=6,"Average",IF(F166&lt;=8,"Good","Excellent")))</f>
        <v>Poor</v>
      </c>
      <c r="O166" s="8" t="str">
        <f aca="false">IF(G166&lt;=3,"Poor",IF(G166&lt;=6,"Average",IF(G166&lt;=8,"Good","Excellent")))</f>
        <v>Good</v>
      </c>
      <c r="P166" s="8" t="str">
        <f aca="false">IF(H166&lt;=5,"Low Frequency",IF(H166&lt;=10,"Moderate",IF(H166&lt;=15,"High","Very High")))</f>
        <v>Low Frequency</v>
      </c>
      <c r="Q166" s="8" t="str">
        <f aca="false">IF(K166&gt;=90,"Highly Satisfied",IF(K166&gt;=75,"Satisfied",IF(K166&gt;=60,"Neutral","Dissatisfied")))</f>
        <v>Neutral</v>
      </c>
      <c r="R166" s="8" t="str">
        <f aca="false">UPPER(LEFT(TRIM(J166),1))&amp;LOWER(MID(TRIM(J166),2,100))</f>
        <v>Silver</v>
      </c>
      <c r="S166" s="8" t="str">
        <f aca="false">IF(I166="High","Positive",IF(I166="Medium","Neutral","Negative"))</f>
        <v>Negative</v>
      </c>
      <c r="T166" s="8" t="str">
        <f aca="false">IF(AND(E166&gt;=80000,H166&gt;=15),"Premium",IF(AND(E166&gt;=50000,H166&gt;=10),"Standard","Basic"))</f>
        <v>Basic</v>
      </c>
      <c r="U166" s="8" t="str">
        <f aca="false">IF(AND(F166&gt;=7,G166&gt;=7),"High Quality Experience","Review Needed")</f>
        <v>Review Needed</v>
      </c>
      <c r="V166" s="8" t="str">
        <f aca="false">IF(H166&gt;=10,"Repeat Buyer","Occasional Buyer")</f>
        <v>Occasional Buyer</v>
      </c>
      <c r="W166" s="8" t="str">
        <f aca="false">IF(AND(K166&lt;70,I166="Low"),"At Risk","Stable")</f>
        <v>Stable</v>
      </c>
      <c r="X166" s="8" t="str">
        <f aca="false">IF(AND(K166&lt;75,I166="Low",J166="Bronze"),"Priority Followup","No Action")</f>
        <v>No Action</v>
      </c>
    </row>
    <row r="167" customFormat="false" ht="15" hidden="false" customHeight="false" outlineLevel="0" collapsed="false">
      <c r="A167" s="3" t="n">
        <v>165</v>
      </c>
      <c r="B167" s="3" t="n">
        <v>54</v>
      </c>
      <c r="C167" s="3" t="s">
        <v>11</v>
      </c>
      <c r="D167" s="3" t="s">
        <v>20</v>
      </c>
      <c r="E167" s="3" t="n">
        <v>57353</v>
      </c>
      <c r="F167" s="3" t="n">
        <v>6</v>
      </c>
      <c r="G167" s="3" t="n">
        <v>4</v>
      </c>
      <c r="H167" s="3" t="n">
        <v>7</v>
      </c>
      <c r="I167" s="3" t="s">
        <v>15</v>
      </c>
      <c r="J167" s="3" t="s">
        <v>19</v>
      </c>
      <c r="K167" s="3" t="n">
        <v>100</v>
      </c>
      <c r="L167" s="7" t="str">
        <f aca="false">IF(B167&lt;25,"Gen Z",IF(B167&lt;40,"Millennial",IF(B167&lt;55,"Gen X","Baby Boomer")))</f>
        <v>Gen X</v>
      </c>
      <c r="M167" s="7" t="str">
        <f aca="false">IF(E167&lt;50000,"Low Income",IF(E167&lt;80000,"Middle Income",IF(E167&lt;100000,"Upper Middle","High Income")))</f>
        <v>Middle Income</v>
      </c>
      <c r="N167" s="7" t="str">
        <f aca="false">IF(F167&lt;=3,"Poor",IF(F167&lt;=6,"Average",IF(F167&lt;=8,"Good","Excellent")))</f>
        <v>Average</v>
      </c>
      <c r="O167" s="7" t="str">
        <f aca="false">IF(G167&lt;=3,"Poor",IF(G167&lt;=6,"Average",IF(G167&lt;=8,"Good","Excellent")))</f>
        <v>Average</v>
      </c>
      <c r="P167" s="7" t="str">
        <f aca="false">IF(H167&lt;=5,"Low Frequency",IF(H167&lt;=10,"Moderate",IF(H167&lt;=15,"High","Very High")))</f>
        <v>Moderate</v>
      </c>
      <c r="Q167" s="7" t="str">
        <f aca="false">IF(K167&gt;=90,"Highly Satisfied",IF(K167&gt;=75,"Satisfied",IF(K167&gt;=60,"Neutral","Dissatisfied")))</f>
        <v>Highly Satisfied</v>
      </c>
      <c r="R167" s="7" t="str">
        <f aca="false">UPPER(LEFT(TRIM(J167),1))&amp;LOWER(MID(TRIM(J167),2,100))</f>
        <v>Silver</v>
      </c>
      <c r="S167" s="7" t="str">
        <f aca="false">IF(I167="High","Positive",IF(I167="Medium","Neutral","Negative"))</f>
        <v>Neutral</v>
      </c>
      <c r="T167" s="7" t="str">
        <f aca="false">IF(AND(E167&gt;=80000,H167&gt;=15),"Premium",IF(AND(E167&gt;=50000,H167&gt;=10),"Standard","Basic"))</f>
        <v>Basic</v>
      </c>
      <c r="U167" s="7" t="str">
        <f aca="false">IF(AND(F167&gt;=7,G167&gt;=7),"High Quality Experience","Review Needed")</f>
        <v>Review Needed</v>
      </c>
      <c r="V167" s="7" t="str">
        <f aca="false">IF(H167&gt;=10,"Repeat Buyer","Occasional Buyer")</f>
        <v>Occasional Buyer</v>
      </c>
      <c r="W167" s="7" t="str">
        <f aca="false">IF(AND(K167&lt;70,I167="Low"),"At Risk","Stable")</f>
        <v>Stable</v>
      </c>
      <c r="X167" s="7" t="str">
        <f aca="false">IF(AND(K167&lt;75,I167="Low",J167="Bronze"),"Priority Followup","No Action")</f>
        <v>No Action</v>
      </c>
    </row>
    <row r="168" customFormat="false" ht="15" hidden="false" customHeight="false" outlineLevel="0" collapsed="false">
      <c r="A168" s="2" t="n">
        <v>166</v>
      </c>
      <c r="B168" s="2" t="n">
        <v>40</v>
      </c>
      <c r="C168" s="2" t="s">
        <v>11</v>
      </c>
      <c r="D168" s="2" t="s">
        <v>23</v>
      </c>
      <c r="E168" s="2" t="n">
        <v>67987</v>
      </c>
      <c r="F168" s="2" t="n">
        <v>2</v>
      </c>
      <c r="G168" s="2" t="n">
        <v>7</v>
      </c>
      <c r="H168" s="2" t="n">
        <v>20</v>
      </c>
      <c r="I168" s="2" t="s">
        <v>13</v>
      </c>
      <c r="J168" s="2" t="s">
        <v>19</v>
      </c>
      <c r="K168" s="2" t="n">
        <v>100</v>
      </c>
      <c r="L168" s="8" t="str">
        <f aca="false">IF(B168&lt;25,"Gen Z",IF(B168&lt;40,"Millennial",IF(B168&lt;55,"Gen X","Baby Boomer")))</f>
        <v>Gen X</v>
      </c>
      <c r="M168" s="8" t="str">
        <f aca="false">IF(E168&lt;50000,"Low Income",IF(E168&lt;80000,"Middle Income",IF(E168&lt;100000,"Upper Middle","High Income")))</f>
        <v>Middle Income</v>
      </c>
      <c r="N168" s="8" t="str">
        <f aca="false">IF(F168&lt;=3,"Poor",IF(F168&lt;=6,"Average",IF(F168&lt;=8,"Good","Excellent")))</f>
        <v>Poor</v>
      </c>
      <c r="O168" s="8" t="str">
        <f aca="false">IF(G168&lt;=3,"Poor",IF(G168&lt;=6,"Average",IF(G168&lt;=8,"Good","Excellent")))</f>
        <v>Good</v>
      </c>
      <c r="P168" s="8" t="str">
        <f aca="false">IF(H168&lt;=5,"Low Frequency",IF(H168&lt;=10,"Moderate",IF(H168&lt;=15,"High","Very High")))</f>
        <v>Very High</v>
      </c>
      <c r="Q168" s="8" t="str">
        <f aca="false">IF(K168&gt;=90,"Highly Satisfied",IF(K168&gt;=75,"Satisfied",IF(K168&gt;=60,"Neutral","Dissatisfied")))</f>
        <v>Highly Satisfied</v>
      </c>
      <c r="R168" s="8" t="str">
        <f aca="false">UPPER(LEFT(TRIM(J168),1))&amp;LOWER(MID(TRIM(J168),2,100))</f>
        <v>Silver</v>
      </c>
      <c r="S168" s="8" t="str">
        <f aca="false">IF(I168="High","Positive",IF(I168="Medium","Neutral","Negative"))</f>
        <v>Negative</v>
      </c>
      <c r="T168" s="8" t="str">
        <f aca="false">IF(AND(E168&gt;=80000,H168&gt;=15),"Premium",IF(AND(E168&gt;=50000,H168&gt;=10),"Standard","Basic"))</f>
        <v>Standard</v>
      </c>
      <c r="U168" s="8" t="str">
        <f aca="false">IF(AND(F168&gt;=7,G168&gt;=7),"High Quality Experience","Review Needed")</f>
        <v>Review Needed</v>
      </c>
      <c r="V168" s="8" t="str">
        <f aca="false">IF(H168&gt;=10,"Repeat Buyer","Occasional Buyer")</f>
        <v>Repeat Buyer</v>
      </c>
      <c r="W168" s="8" t="str">
        <f aca="false">IF(AND(K168&lt;70,I168="Low"),"At Risk","Stable")</f>
        <v>Stable</v>
      </c>
      <c r="X168" s="8" t="str">
        <f aca="false">IF(AND(K168&lt;75,I168="Low",J168="Bronze"),"Priority Followup","No Action")</f>
        <v>No Action</v>
      </c>
    </row>
    <row r="169" customFormat="false" ht="15" hidden="false" customHeight="false" outlineLevel="0" collapsed="false">
      <c r="A169" s="3" t="n">
        <v>167</v>
      </c>
      <c r="B169" s="3" t="n">
        <v>56</v>
      </c>
      <c r="C169" s="3" t="s">
        <v>11</v>
      </c>
      <c r="D169" s="3" t="s">
        <v>12</v>
      </c>
      <c r="E169" s="3" t="n">
        <v>59206</v>
      </c>
      <c r="F169" s="3" t="n">
        <v>5</v>
      </c>
      <c r="G169" s="3" t="n">
        <v>7</v>
      </c>
      <c r="H169" s="3" t="n">
        <v>4</v>
      </c>
      <c r="I169" s="3" t="s">
        <v>21</v>
      </c>
      <c r="J169" s="3" t="s">
        <v>16</v>
      </c>
      <c r="K169" s="3" t="n">
        <v>79.87</v>
      </c>
      <c r="L169" s="7" t="str">
        <f aca="false">IF(B169&lt;25,"Gen Z",IF(B169&lt;40,"Millennial",IF(B169&lt;55,"Gen X","Baby Boomer")))</f>
        <v>Baby Boomer</v>
      </c>
      <c r="M169" s="7" t="str">
        <f aca="false">IF(E169&lt;50000,"Low Income",IF(E169&lt;80000,"Middle Income",IF(E169&lt;100000,"Upper Middle","High Income")))</f>
        <v>Middle Income</v>
      </c>
      <c r="N169" s="7" t="str">
        <f aca="false">IF(F169&lt;=3,"Poor",IF(F169&lt;=6,"Average",IF(F169&lt;=8,"Good","Excellent")))</f>
        <v>Average</v>
      </c>
      <c r="O169" s="7" t="str">
        <f aca="false">IF(G169&lt;=3,"Poor",IF(G169&lt;=6,"Average",IF(G169&lt;=8,"Good","Excellent")))</f>
        <v>Good</v>
      </c>
      <c r="P169" s="7" t="str">
        <f aca="false">IF(H169&lt;=5,"Low Frequency",IF(H169&lt;=10,"Moderate",IF(H169&lt;=15,"High","Very High")))</f>
        <v>Low Frequency</v>
      </c>
      <c r="Q169" s="7" t="str">
        <f aca="false">IF(K169&gt;=90,"Highly Satisfied",IF(K169&gt;=75,"Satisfied",IF(K169&gt;=60,"Neutral","Dissatisfied")))</f>
        <v>Satisfied</v>
      </c>
      <c r="R169" s="7" t="str">
        <f aca="false">UPPER(LEFT(TRIM(J169),1))&amp;LOWER(MID(TRIM(J169),2,100))</f>
        <v>Gold</v>
      </c>
      <c r="S169" s="7" t="str">
        <f aca="false">IF(I169="High","Positive",IF(I169="Medium","Neutral","Negative"))</f>
        <v>Positive</v>
      </c>
      <c r="T169" s="7" t="str">
        <f aca="false">IF(AND(E169&gt;=80000,H169&gt;=15),"Premium",IF(AND(E169&gt;=50000,H169&gt;=10),"Standard","Basic"))</f>
        <v>Basic</v>
      </c>
      <c r="U169" s="7" t="str">
        <f aca="false">IF(AND(F169&gt;=7,G169&gt;=7),"High Quality Experience","Review Needed")</f>
        <v>Review Needed</v>
      </c>
      <c r="V169" s="7" t="str">
        <f aca="false">IF(H169&gt;=10,"Repeat Buyer","Occasional Buyer")</f>
        <v>Occasional Buyer</v>
      </c>
      <c r="W169" s="7" t="str">
        <f aca="false">IF(AND(K169&lt;70,I169="Low"),"At Risk","Stable")</f>
        <v>Stable</v>
      </c>
      <c r="X169" s="7" t="str">
        <f aca="false">IF(AND(K169&lt;75,I169="Low",J169="Bronze"),"Priority Followup","No Action")</f>
        <v>No Action</v>
      </c>
    </row>
    <row r="170" customFormat="false" ht="15" hidden="false" customHeight="false" outlineLevel="0" collapsed="false">
      <c r="A170" s="2" t="n">
        <v>168</v>
      </c>
      <c r="B170" s="2" t="n">
        <v>62</v>
      </c>
      <c r="C170" s="2" t="s">
        <v>11</v>
      </c>
      <c r="D170" s="2" t="s">
        <v>23</v>
      </c>
      <c r="E170" s="2" t="n">
        <v>94493</v>
      </c>
      <c r="F170" s="2" t="n">
        <v>2</v>
      </c>
      <c r="G170" s="2" t="n">
        <v>10</v>
      </c>
      <c r="H170" s="2" t="n">
        <v>10</v>
      </c>
      <c r="I170" s="2" t="s">
        <v>21</v>
      </c>
      <c r="J170" s="2" t="s">
        <v>19</v>
      </c>
      <c r="K170" s="2" t="n">
        <v>100</v>
      </c>
      <c r="L170" s="8" t="str">
        <f aca="false">IF(B170&lt;25,"Gen Z",IF(B170&lt;40,"Millennial",IF(B170&lt;55,"Gen X","Baby Boomer")))</f>
        <v>Baby Boomer</v>
      </c>
      <c r="M170" s="8" t="str">
        <f aca="false">IF(E170&lt;50000,"Low Income",IF(E170&lt;80000,"Middle Income",IF(E170&lt;100000,"Upper Middle","High Income")))</f>
        <v>Upper Middle</v>
      </c>
      <c r="N170" s="8" t="str">
        <f aca="false">IF(F170&lt;=3,"Poor",IF(F170&lt;=6,"Average",IF(F170&lt;=8,"Good","Excellent")))</f>
        <v>Poor</v>
      </c>
      <c r="O170" s="8" t="str">
        <f aca="false">IF(G170&lt;=3,"Poor",IF(G170&lt;=6,"Average",IF(G170&lt;=8,"Good","Excellent")))</f>
        <v>Excellent</v>
      </c>
      <c r="P170" s="8" t="str">
        <f aca="false">IF(H170&lt;=5,"Low Frequency",IF(H170&lt;=10,"Moderate",IF(H170&lt;=15,"High","Very High")))</f>
        <v>Moderate</v>
      </c>
      <c r="Q170" s="8" t="str">
        <f aca="false">IF(K170&gt;=90,"Highly Satisfied",IF(K170&gt;=75,"Satisfied",IF(K170&gt;=60,"Neutral","Dissatisfied")))</f>
        <v>Highly Satisfied</v>
      </c>
      <c r="R170" s="8" t="str">
        <f aca="false">UPPER(LEFT(TRIM(J170),1))&amp;LOWER(MID(TRIM(J170),2,100))</f>
        <v>Silver</v>
      </c>
      <c r="S170" s="8" t="str">
        <f aca="false">IF(I170="High","Positive",IF(I170="Medium","Neutral","Negative"))</f>
        <v>Positive</v>
      </c>
      <c r="T170" s="8" t="str">
        <f aca="false">IF(AND(E170&gt;=80000,H170&gt;=15),"Premium",IF(AND(E170&gt;=50000,H170&gt;=10),"Standard","Basic"))</f>
        <v>Standard</v>
      </c>
      <c r="U170" s="8" t="str">
        <f aca="false">IF(AND(F170&gt;=7,G170&gt;=7),"High Quality Experience","Review Needed")</f>
        <v>Review Needed</v>
      </c>
      <c r="V170" s="8" t="str">
        <f aca="false">IF(H170&gt;=10,"Repeat Buyer","Occasional Buyer")</f>
        <v>Repeat Buyer</v>
      </c>
      <c r="W170" s="8" t="str">
        <f aca="false">IF(AND(K170&lt;70,I170="Low"),"At Risk","Stable")</f>
        <v>Stable</v>
      </c>
      <c r="X170" s="8" t="str">
        <f aca="false">IF(AND(K170&lt;75,I170="Low",J170="Bronze"),"Priority Followup","No Action")</f>
        <v>No Action</v>
      </c>
    </row>
    <row r="171" customFormat="false" ht="15" hidden="false" customHeight="false" outlineLevel="0" collapsed="false">
      <c r="A171" s="3" t="n">
        <v>169</v>
      </c>
      <c r="B171" s="3" t="n">
        <v>32</v>
      </c>
      <c r="C171" s="3" t="s">
        <v>17</v>
      </c>
      <c r="D171" s="3" t="s">
        <v>20</v>
      </c>
      <c r="E171" s="3" t="n">
        <v>110154</v>
      </c>
      <c r="F171" s="3" t="n">
        <v>10</v>
      </c>
      <c r="G171" s="3" t="n">
        <v>8</v>
      </c>
      <c r="H171" s="3" t="n">
        <v>8</v>
      </c>
      <c r="I171" s="3" t="s">
        <v>15</v>
      </c>
      <c r="J171" s="3" t="s">
        <v>14</v>
      </c>
      <c r="K171" s="3" t="n">
        <v>100</v>
      </c>
      <c r="L171" s="7" t="str">
        <f aca="false">IF(B171&lt;25,"Gen Z",IF(B171&lt;40,"Millennial",IF(B171&lt;55,"Gen X","Baby Boomer")))</f>
        <v>Millennial</v>
      </c>
      <c r="M171" s="7" t="str">
        <f aca="false">IF(E171&lt;50000,"Low Income",IF(E171&lt;80000,"Middle Income",IF(E171&lt;100000,"Upper Middle","High Income")))</f>
        <v>High Income</v>
      </c>
      <c r="N171" s="7" t="str">
        <f aca="false">IF(F171&lt;=3,"Poor",IF(F171&lt;=6,"Average",IF(F171&lt;=8,"Good","Excellent")))</f>
        <v>Excellent</v>
      </c>
      <c r="O171" s="7" t="str">
        <f aca="false">IF(G171&lt;=3,"Poor",IF(G171&lt;=6,"Average",IF(G171&lt;=8,"Good","Excellent")))</f>
        <v>Good</v>
      </c>
      <c r="P171" s="7" t="str">
        <f aca="false">IF(H171&lt;=5,"Low Frequency",IF(H171&lt;=10,"Moderate",IF(H171&lt;=15,"High","Very High")))</f>
        <v>Moderate</v>
      </c>
      <c r="Q171" s="7" t="str">
        <f aca="false">IF(K171&gt;=90,"Highly Satisfied",IF(K171&gt;=75,"Satisfied",IF(K171&gt;=60,"Neutral","Dissatisfied")))</f>
        <v>Highly Satisfied</v>
      </c>
      <c r="R171" s="7" t="str">
        <f aca="false">UPPER(LEFT(TRIM(J171),1))&amp;LOWER(MID(TRIM(J171),2,100))</f>
        <v>Bronze</v>
      </c>
      <c r="S171" s="7" t="str">
        <f aca="false">IF(I171="High","Positive",IF(I171="Medium","Neutral","Negative"))</f>
        <v>Neutral</v>
      </c>
      <c r="T171" s="7" t="str">
        <f aca="false">IF(AND(E171&gt;=80000,H171&gt;=15),"Premium",IF(AND(E171&gt;=50000,H171&gt;=10),"Standard","Basic"))</f>
        <v>Basic</v>
      </c>
      <c r="U171" s="7" t="str">
        <f aca="false">IF(AND(F171&gt;=7,G171&gt;=7),"High Quality Experience","Review Needed")</f>
        <v>High Quality Experience</v>
      </c>
      <c r="V171" s="7" t="str">
        <f aca="false">IF(H171&gt;=10,"Repeat Buyer","Occasional Buyer")</f>
        <v>Occasional Buyer</v>
      </c>
      <c r="W171" s="7" t="str">
        <f aca="false">IF(AND(K171&lt;70,I171="Low"),"At Risk","Stable")</f>
        <v>Stable</v>
      </c>
      <c r="X171" s="7" t="str">
        <f aca="false">IF(AND(K171&lt;75,I171="Low",J171="Bronze"),"Priority Followup","No Action")</f>
        <v>No Action</v>
      </c>
    </row>
    <row r="172" customFormat="false" ht="15" hidden="false" customHeight="false" outlineLevel="0" collapsed="false">
      <c r="A172" s="2" t="n">
        <v>170</v>
      </c>
      <c r="B172" s="2" t="n">
        <v>60</v>
      </c>
      <c r="C172" s="2" t="s">
        <v>17</v>
      </c>
      <c r="D172" s="2" t="s">
        <v>20</v>
      </c>
      <c r="E172" s="2" t="n">
        <v>66852</v>
      </c>
      <c r="F172" s="2" t="n">
        <v>1</v>
      </c>
      <c r="G172" s="2" t="n">
        <v>6</v>
      </c>
      <c r="H172" s="2" t="n">
        <v>14</v>
      </c>
      <c r="I172" s="2" t="s">
        <v>21</v>
      </c>
      <c r="J172" s="2" t="s">
        <v>14</v>
      </c>
      <c r="K172" s="2" t="n">
        <v>77.8</v>
      </c>
      <c r="L172" s="8" t="str">
        <f aca="false">IF(B172&lt;25,"Gen Z",IF(B172&lt;40,"Millennial",IF(B172&lt;55,"Gen X","Baby Boomer")))</f>
        <v>Baby Boomer</v>
      </c>
      <c r="M172" s="8" t="str">
        <f aca="false">IF(E172&lt;50000,"Low Income",IF(E172&lt;80000,"Middle Income",IF(E172&lt;100000,"Upper Middle","High Income")))</f>
        <v>Middle Income</v>
      </c>
      <c r="N172" s="8" t="str">
        <f aca="false">IF(F172&lt;=3,"Poor",IF(F172&lt;=6,"Average",IF(F172&lt;=8,"Good","Excellent")))</f>
        <v>Poor</v>
      </c>
      <c r="O172" s="8" t="str">
        <f aca="false">IF(G172&lt;=3,"Poor",IF(G172&lt;=6,"Average",IF(G172&lt;=8,"Good","Excellent")))</f>
        <v>Average</v>
      </c>
      <c r="P172" s="8" t="str">
        <f aca="false">IF(H172&lt;=5,"Low Frequency",IF(H172&lt;=10,"Moderate",IF(H172&lt;=15,"High","Very High")))</f>
        <v>High</v>
      </c>
      <c r="Q172" s="8" t="str">
        <f aca="false">IF(K172&gt;=90,"Highly Satisfied",IF(K172&gt;=75,"Satisfied",IF(K172&gt;=60,"Neutral","Dissatisfied")))</f>
        <v>Satisfied</v>
      </c>
      <c r="R172" s="8" t="str">
        <f aca="false">UPPER(LEFT(TRIM(J172),1))&amp;LOWER(MID(TRIM(J172),2,100))</f>
        <v>Bronze</v>
      </c>
      <c r="S172" s="8" t="str">
        <f aca="false">IF(I172="High","Positive",IF(I172="Medium","Neutral","Negative"))</f>
        <v>Positive</v>
      </c>
      <c r="T172" s="8" t="str">
        <f aca="false">IF(AND(E172&gt;=80000,H172&gt;=15),"Premium",IF(AND(E172&gt;=50000,H172&gt;=10),"Standard","Basic"))</f>
        <v>Standard</v>
      </c>
      <c r="U172" s="8" t="str">
        <f aca="false">IF(AND(F172&gt;=7,G172&gt;=7),"High Quality Experience","Review Needed")</f>
        <v>Review Needed</v>
      </c>
      <c r="V172" s="8" t="str">
        <f aca="false">IF(H172&gt;=10,"Repeat Buyer","Occasional Buyer")</f>
        <v>Repeat Buyer</v>
      </c>
      <c r="W172" s="8" t="str">
        <f aca="false">IF(AND(K172&lt;70,I172="Low"),"At Risk","Stable")</f>
        <v>Stable</v>
      </c>
      <c r="X172" s="8" t="str">
        <f aca="false">IF(AND(K172&lt;75,I172="Low",J172="Bronze"),"Priority Followup","No Action")</f>
        <v>No Action</v>
      </c>
    </row>
    <row r="173" customFormat="false" ht="15" hidden="false" customHeight="false" outlineLevel="0" collapsed="false">
      <c r="A173" s="3" t="n">
        <v>171</v>
      </c>
      <c r="B173" s="3" t="n">
        <v>46</v>
      </c>
      <c r="C173" s="3" t="s">
        <v>11</v>
      </c>
      <c r="D173" s="3" t="s">
        <v>18</v>
      </c>
      <c r="E173" s="3" t="n">
        <v>60850</v>
      </c>
      <c r="F173" s="3" t="n">
        <v>8</v>
      </c>
      <c r="G173" s="3" t="n">
        <v>4</v>
      </c>
      <c r="H173" s="3" t="n">
        <v>5</v>
      </c>
      <c r="I173" s="3" t="s">
        <v>13</v>
      </c>
      <c r="J173" s="3" t="s">
        <v>16</v>
      </c>
      <c r="K173" s="3" t="n">
        <v>90.13</v>
      </c>
      <c r="L173" s="7" t="str">
        <f aca="false">IF(B173&lt;25,"Gen Z",IF(B173&lt;40,"Millennial",IF(B173&lt;55,"Gen X","Baby Boomer")))</f>
        <v>Gen X</v>
      </c>
      <c r="M173" s="7" t="str">
        <f aca="false">IF(E173&lt;50000,"Low Income",IF(E173&lt;80000,"Middle Income",IF(E173&lt;100000,"Upper Middle","High Income")))</f>
        <v>Middle Income</v>
      </c>
      <c r="N173" s="7" t="str">
        <f aca="false">IF(F173&lt;=3,"Poor",IF(F173&lt;=6,"Average",IF(F173&lt;=8,"Good","Excellent")))</f>
        <v>Good</v>
      </c>
      <c r="O173" s="7" t="str">
        <f aca="false">IF(G173&lt;=3,"Poor",IF(G173&lt;=6,"Average",IF(G173&lt;=8,"Good","Excellent")))</f>
        <v>Average</v>
      </c>
      <c r="P173" s="7" t="str">
        <f aca="false">IF(H173&lt;=5,"Low Frequency",IF(H173&lt;=10,"Moderate",IF(H173&lt;=15,"High","Very High")))</f>
        <v>Low Frequency</v>
      </c>
      <c r="Q173" s="7" t="str">
        <f aca="false">IF(K173&gt;=90,"Highly Satisfied",IF(K173&gt;=75,"Satisfied",IF(K173&gt;=60,"Neutral","Dissatisfied")))</f>
        <v>Highly Satisfied</v>
      </c>
      <c r="R173" s="7" t="str">
        <f aca="false">UPPER(LEFT(TRIM(J173),1))&amp;LOWER(MID(TRIM(J173),2,100))</f>
        <v>Gold</v>
      </c>
      <c r="S173" s="7" t="str">
        <f aca="false">IF(I173="High","Positive",IF(I173="Medium","Neutral","Negative"))</f>
        <v>Negative</v>
      </c>
      <c r="T173" s="7" t="str">
        <f aca="false">IF(AND(E173&gt;=80000,H173&gt;=15),"Premium",IF(AND(E173&gt;=50000,H173&gt;=10),"Standard","Basic"))</f>
        <v>Basic</v>
      </c>
      <c r="U173" s="7" t="str">
        <f aca="false">IF(AND(F173&gt;=7,G173&gt;=7),"High Quality Experience","Review Needed")</f>
        <v>Review Needed</v>
      </c>
      <c r="V173" s="7" t="str">
        <f aca="false">IF(H173&gt;=10,"Repeat Buyer","Occasional Buyer")</f>
        <v>Occasional Buyer</v>
      </c>
      <c r="W173" s="7" t="str">
        <f aca="false">IF(AND(K173&lt;70,I173="Low"),"At Risk","Stable")</f>
        <v>Stable</v>
      </c>
      <c r="X173" s="7" t="str">
        <f aca="false">IF(AND(K173&lt;75,I173="Low",J173="Bronze"),"Priority Followup","No Action")</f>
        <v>No Action</v>
      </c>
    </row>
    <row r="174" customFormat="false" ht="15" hidden="false" customHeight="false" outlineLevel="0" collapsed="false">
      <c r="A174" s="2" t="n">
        <v>172</v>
      </c>
      <c r="B174" s="2" t="n">
        <v>53</v>
      </c>
      <c r="C174" s="2" t="s">
        <v>11</v>
      </c>
      <c r="D174" s="2" t="s">
        <v>20</v>
      </c>
      <c r="E174" s="2" t="n">
        <v>95639</v>
      </c>
      <c r="F174" s="2" t="n">
        <v>4</v>
      </c>
      <c r="G174" s="2" t="n">
        <v>8</v>
      </c>
      <c r="H174" s="2" t="n">
        <v>4</v>
      </c>
      <c r="I174" s="2" t="s">
        <v>15</v>
      </c>
      <c r="J174" s="2" t="s">
        <v>19</v>
      </c>
      <c r="K174" s="2" t="n">
        <v>100</v>
      </c>
      <c r="L174" s="8" t="str">
        <f aca="false">IF(B174&lt;25,"Gen Z",IF(B174&lt;40,"Millennial",IF(B174&lt;55,"Gen X","Baby Boomer")))</f>
        <v>Gen X</v>
      </c>
      <c r="M174" s="8" t="str">
        <f aca="false">IF(E174&lt;50000,"Low Income",IF(E174&lt;80000,"Middle Income",IF(E174&lt;100000,"Upper Middle","High Income")))</f>
        <v>Upper Middle</v>
      </c>
      <c r="N174" s="8" t="str">
        <f aca="false">IF(F174&lt;=3,"Poor",IF(F174&lt;=6,"Average",IF(F174&lt;=8,"Good","Excellent")))</f>
        <v>Average</v>
      </c>
      <c r="O174" s="8" t="str">
        <f aca="false">IF(G174&lt;=3,"Poor",IF(G174&lt;=6,"Average",IF(G174&lt;=8,"Good","Excellent")))</f>
        <v>Good</v>
      </c>
      <c r="P174" s="8" t="str">
        <f aca="false">IF(H174&lt;=5,"Low Frequency",IF(H174&lt;=10,"Moderate",IF(H174&lt;=15,"High","Very High")))</f>
        <v>Low Frequency</v>
      </c>
      <c r="Q174" s="8" t="str">
        <f aca="false">IF(K174&gt;=90,"Highly Satisfied",IF(K174&gt;=75,"Satisfied",IF(K174&gt;=60,"Neutral","Dissatisfied")))</f>
        <v>Highly Satisfied</v>
      </c>
      <c r="R174" s="8" t="str">
        <f aca="false">UPPER(LEFT(TRIM(J174),1))&amp;LOWER(MID(TRIM(J174),2,100))</f>
        <v>Silver</v>
      </c>
      <c r="S174" s="8" t="str">
        <f aca="false">IF(I174="High","Positive",IF(I174="Medium","Neutral","Negative"))</f>
        <v>Neutral</v>
      </c>
      <c r="T174" s="8" t="str">
        <f aca="false">IF(AND(E174&gt;=80000,H174&gt;=15),"Premium",IF(AND(E174&gt;=50000,H174&gt;=10),"Standard","Basic"))</f>
        <v>Basic</v>
      </c>
      <c r="U174" s="8" t="str">
        <f aca="false">IF(AND(F174&gt;=7,G174&gt;=7),"High Quality Experience","Review Needed")</f>
        <v>Review Needed</v>
      </c>
      <c r="V174" s="8" t="str">
        <f aca="false">IF(H174&gt;=10,"Repeat Buyer","Occasional Buyer")</f>
        <v>Occasional Buyer</v>
      </c>
      <c r="W174" s="8" t="str">
        <f aca="false">IF(AND(K174&lt;70,I174="Low"),"At Risk","Stable")</f>
        <v>Stable</v>
      </c>
      <c r="X174" s="8" t="str">
        <f aca="false">IF(AND(K174&lt;75,I174="Low",J174="Bronze"),"Priority Followup","No Action")</f>
        <v>No Action</v>
      </c>
    </row>
    <row r="175" customFormat="false" ht="15" hidden="false" customHeight="false" outlineLevel="0" collapsed="false">
      <c r="A175" s="3" t="n">
        <v>173</v>
      </c>
      <c r="B175" s="3" t="n">
        <v>30</v>
      </c>
      <c r="C175" s="3" t="s">
        <v>11</v>
      </c>
      <c r="D175" s="3" t="s">
        <v>20</v>
      </c>
      <c r="E175" s="3" t="n">
        <v>37706</v>
      </c>
      <c r="F175" s="3" t="n">
        <v>10</v>
      </c>
      <c r="G175" s="3" t="n">
        <v>9</v>
      </c>
      <c r="H175" s="3" t="n">
        <v>15</v>
      </c>
      <c r="I175" s="3" t="s">
        <v>13</v>
      </c>
      <c r="J175" s="3" t="s">
        <v>19</v>
      </c>
      <c r="K175" s="3" t="n">
        <v>100</v>
      </c>
      <c r="L175" s="7" t="str">
        <f aca="false">IF(B175&lt;25,"Gen Z",IF(B175&lt;40,"Millennial",IF(B175&lt;55,"Gen X","Baby Boomer")))</f>
        <v>Millennial</v>
      </c>
      <c r="M175" s="7" t="str">
        <f aca="false">IF(E175&lt;50000,"Low Income",IF(E175&lt;80000,"Middle Income",IF(E175&lt;100000,"Upper Middle","High Income")))</f>
        <v>Low Income</v>
      </c>
      <c r="N175" s="7" t="str">
        <f aca="false">IF(F175&lt;=3,"Poor",IF(F175&lt;=6,"Average",IF(F175&lt;=8,"Good","Excellent")))</f>
        <v>Excellent</v>
      </c>
      <c r="O175" s="7" t="str">
        <f aca="false">IF(G175&lt;=3,"Poor",IF(G175&lt;=6,"Average",IF(G175&lt;=8,"Good","Excellent")))</f>
        <v>Excellent</v>
      </c>
      <c r="P175" s="7" t="str">
        <f aca="false">IF(H175&lt;=5,"Low Frequency",IF(H175&lt;=10,"Moderate",IF(H175&lt;=15,"High","Very High")))</f>
        <v>High</v>
      </c>
      <c r="Q175" s="7" t="str">
        <f aca="false">IF(K175&gt;=90,"Highly Satisfied",IF(K175&gt;=75,"Satisfied",IF(K175&gt;=60,"Neutral","Dissatisfied")))</f>
        <v>Highly Satisfied</v>
      </c>
      <c r="R175" s="7" t="str">
        <f aca="false">UPPER(LEFT(TRIM(J175),1))&amp;LOWER(MID(TRIM(J175),2,100))</f>
        <v>Silver</v>
      </c>
      <c r="S175" s="7" t="str">
        <f aca="false">IF(I175="High","Positive",IF(I175="Medium","Neutral","Negative"))</f>
        <v>Negative</v>
      </c>
      <c r="T175" s="7" t="str">
        <f aca="false">IF(AND(E175&gt;=80000,H175&gt;=15),"Premium",IF(AND(E175&gt;=50000,H175&gt;=10),"Standard","Basic"))</f>
        <v>Basic</v>
      </c>
      <c r="U175" s="7" t="str">
        <f aca="false">IF(AND(F175&gt;=7,G175&gt;=7),"High Quality Experience","Review Needed")</f>
        <v>High Quality Experience</v>
      </c>
      <c r="V175" s="7" t="str">
        <f aca="false">IF(H175&gt;=10,"Repeat Buyer","Occasional Buyer")</f>
        <v>Repeat Buyer</v>
      </c>
      <c r="W175" s="7" t="str">
        <f aca="false">IF(AND(K175&lt;70,I175="Low"),"At Risk","Stable")</f>
        <v>Stable</v>
      </c>
      <c r="X175" s="7" t="str">
        <f aca="false">IF(AND(K175&lt;75,I175="Low",J175="Bronze"),"Priority Followup","No Action")</f>
        <v>No Action</v>
      </c>
    </row>
    <row r="176" customFormat="false" ht="15" hidden="false" customHeight="false" outlineLevel="0" collapsed="false">
      <c r="A176" s="2" t="n">
        <v>174</v>
      </c>
      <c r="B176" s="2" t="n">
        <v>49</v>
      </c>
      <c r="C176" s="2" t="s">
        <v>17</v>
      </c>
      <c r="D176" s="2" t="s">
        <v>20</v>
      </c>
      <c r="E176" s="2" t="n">
        <v>65517</v>
      </c>
      <c r="F176" s="2" t="n">
        <v>5</v>
      </c>
      <c r="G176" s="2" t="n">
        <v>10</v>
      </c>
      <c r="H176" s="2" t="n">
        <v>12</v>
      </c>
      <c r="I176" s="2" t="s">
        <v>13</v>
      </c>
      <c r="J176" s="2" t="s">
        <v>16</v>
      </c>
      <c r="K176" s="2" t="n">
        <v>100</v>
      </c>
      <c r="L176" s="8" t="str">
        <f aca="false">IF(B176&lt;25,"Gen Z",IF(B176&lt;40,"Millennial",IF(B176&lt;55,"Gen X","Baby Boomer")))</f>
        <v>Gen X</v>
      </c>
      <c r="M176" s="8" t="str">
        <f aca="false">IF(E176&lt;50000,"Low Income",IF(E176&lt;80000,"Middle Income",IF(E176&lt;100000,"Upper Middle","High Income")))</f>
        <v>Middle Income</v>
      </c>
      <c r="N176" s="8" t="str">
        <f aca="false">IF(F176&lt;=3,"Poor",IF(F176&lt;=6,"Average",IF(F176&lt;=8,"Good","Excellent")))</f>
        <v>Average</v>
      </c>
      <c r="O176" s="8" t="str">
        <f aca="false">IF(G176&lt;=3,"Poor",IF(G176&lt;=6,"Average",IF(G176&lt;=8,"Good","Excellent")))</f>
        <v>Excellent</v>
      </c>
      <c r="P176" s="8" t="str">
        <f aca="false">IF(H176&lt;=5,"Low Frequency",IF(H176&lt;=10,"Moderate",IF(H176&lt;=15,"High","Very High")))</f>
        <v>High</v>
      </c>
      <c r="Q176" s="8" t="str">
        <f aca="false">IF(K176&gt;=90,"Highly Satisfied",IF(K176&gt;=75,"Satisfied",IF(K176&gt;=60,"Neutral","Dissatisfied")))</f>
        <v>Highly Satisfied</v>
      </c>
      <c r="R176" s="8" t="str">
        <f aca="false">UPPER(LEFT(TRIM(J176),1))&amp;LOWER(MID(TRIM(J176),2,100))</f>
        <v>Gold</v>
      </c>
      <c r="S176" s="8" t="str">
        <f aca="false">IF(I176="High","Positive",IF(I176="Medium","Neutral","Negative"))</f>
        <v>Negative</v>
      </c>
      <c r="T176" s="8" t="str">
        <f aca="false">IF(AND(E176&gt;=80000,H176&gt;=15),"Premium",IF(AND(E176&gt;=50000,H176&gt;=10),"Standard","Basic"))</f>
        <v>Standard</v>
      </c>
      <c r="U176" s="8" t="str">
        <f aca="false">IF(AND(F176&gt;=7,G176&gt;=7),"High Quality Experience","Review Needed")</f>
        <v>Review Needed</v>
      </c>
      <c r="V176" s="8" t="str">
        <f aca="false">IF(H176&gt;=10,"Repeat Buyer","Occasional Buyer")</f>
        <v>Repeat Buyer</v>
      </c>
      <c r="W176" s="8" t="str">
        <f aca="false">IF(AND(K176&lt;70,I176="Low"),"At Risk","Stable")</f>
        <v>Stable</v>
      </c>
      <c r="X176" s="8" t="str">
        <f aca="false">IF(AND(K176&lt;75,I176="Low",J176="Bronze"),"Priority Followup","No Action")</f>
        <v>No Action</v>
      </c>
    </row>
    <row r="177" customFormat="false" ht="15" hidden="false" customHeight="false" outlineLevel="0" collapsed="false">
      <c r="A177" s="3" t="n">
        <v>175</v>
      </c>
      <c r="B177" s="3" t="n">
        <v>24</v>
      </c>
      <c r="C177" s="3" t="s">
        <v>17</v>
      </c>
      <c r="D177" s="3" t="s">
        <v>22</v>
      </c>
      <c r="E177" s="3" t="n">
        <v>61501</v>
      </c>
      <c r="F177" s="3" t="n">
        <v>6</v>
      </c>
      <c r="G177" s="3" t="n">
        <v>1</v>
      </c>
      <c r="H177" s="3" t="n">
        <v>2</v>
      </c>
      <c r="I177" s="3" t="s">
        <v>21</v>
      </c>
      <c r="J177" s="3" t="s">
        <v>16</v>
      </c>
      <c r="K177" s="3" t="n">
        <v>61.82</v>
      </c>
      <c r="L177" s="7" t="str">
        <f aca="false">IF(B177&lt;25,"Gen Z",IF(B177&lt;40,"Millennial",IF(B177&lt;55,"Gen X","Baby Boomer")))</f>
        <v>Gen Z</v>
      </c>
      <c r="M177" s="7" t="str">
        <f aca="false">IF(E177&lt;50000,"Low Income",IF(E177&lt;80000,"Middle Income",IF(E177&lt;100000,"Upper Middle","High Income")))</f>
        <v>Middle Income</v>
      </c>
      <c r="N177" s="7" t="str">
        <f aca="false">IF(F177&lt;=3,"Poor",IF(F177&lt;=6,"Average",IF(F177&lt;=8,"Good","Excellent")))</f>
        <v>Average</v>
      </c>
      <c r="O177" s="7" t="str">
        <f aca="false">IF(G177&lt;=3,"Poor",IF(G177&lt;=6,"Average",IF(G177&lt;=8,"Good","Excellent")))</f>
        <v>Poor</v>
      </c>
      <c r="P177" s="7" t="str">
        <f aca="false">IF(H177&lt;=5,"Low Frequency",IF(H177&lt;=10,"Moderate",IF(H177&lt;=15,"High","Very High")))</f>
        <v>Low Frequency</v>
      </c>
      <c r="Q177" s="7" t="str">
        <f aca="false">IF(K177&gt;=90,"Highly Satisfied",IF(K177&gt;=75,"Satisfied",IF(K177&gt;=60,"Neutral","Dissatisfied")))</f>
        <v>Neutral</v>
      </c>
      <c r="R177" s="7" t="str">
        <f aca="false">UPPER(LEFT(TRIM(J177),1))&amp;LOWER(MID(TRIM(J177),2,100))</f>
        <v>Gold</v>
      </c>
      <c r="S177" s="7" t="str">
        <f aca="false">IF(I177="High","Positive",IF(I177="Medium","Neutral","Negative"))</f>
        <v>Positive</v>
      </c>
      <c r="T177" s="7" t="str">
        <f aca="false">IF(AND(E177&gt;=80000,H177&gt;=15),"Premium",IF(AND(E177&gt;=50000,H177&gt;=10),"Standard","Basic"))</f>
        <v>Basic</v>
      </c>
      <c r="U177" s="7" t="str">
        <f aca="false">IF(AND(F177&gt;=7,G177&gt;=7),"High Quality Experience","Review Needed")</f>
        <v>Review Needed</v>
      </c>
      <c r="V177" s="7" t="str">
        <f aca="false">IF(H177&gt;=10,"Repeat Buyer","Occasional Buyer")</f>
        <v>Occasional Buyer</v>
      </c>
      <c r="W177" s="7" t="str">
        <f aca="false">IF(AND(K177&lt;70,I177="Low"),"At Risk","Stable")</f>
        <v>Stable</v>
      </c>
      <c r="X177" s="7" t="str">
        <f aca="false">IF(AND(K177&lt;75,I177="Low",J177="Bronze"),"Priority Followup","No Action")</f>
        <v>No Action</v>
      </c>
    </row>
    <row r="178" customFormat="false" ht="15" hidden="false" customHeight="false" outlineLevel="0" collapsed="false">
      <c r="A178" s="2" t="n">
        <v>176</v>
      </c>
      <c r="B178" s="2" t="n">
        <v>68</v>
      </c>
      <c r="C178" s="2" t="s">
        <v>17</v>
      </c>
      <c r="D178" s="2" t="s">
        <v>20</v>
      </c>
      <c r="E178" s="2" t="n">
        <v>117771</v>
      </c>
      <c r="F178" s="2" t="n">
        <v>6</v>
      </c>
      <c r="G178" s="2" t="n">
        <v>3</v>
      </c>
      <c r="H178" s="2" t="n">
        <v>9</v>
      </c>
      <c r="I178" s="2" t="s">
        <v>21</v>
      </c>
      <c r="J178" s="2" t="s">
        <v>19</v>
      </c>
      <c r="K178" s="2" t="n">
        <v>100</v>
      </c>
      <c r="L178" s="8" t="str">
        <f aca="false">IF(B178&lt;25,"Gen Z",IF(B178&lt;40,"Millennial",IF(B178&lt;55,"Gen X","Baby Boomer")))</f>
        <v>Baby Boomer</v>
      </c>
      <c r="M178" s="8" t="str">
        <f aca="false">IF(E178&lt;50000,"Low Income",IF(E178&lt;80000,"Middle Income",IF(E178&lt;100000,"Upper Middle","High Income")))</f>
        <v>High Income</v>
      </c>
      <c r="N178" s="8" t="str">
        <f aca="false">IF(F178&lt;=3,"Poor",IF(F178&lt;=6,"Average",IF(F178&lt;=8,"Good","Excellent")))</f>
        <v>Average</v>
      </c>
      <c r="O178" s="8" t="str">
        <f aca="false">IF(G178&lt;=3,"Poor",IF(G178&lt;=6,"Average",IF(G178&lt;=8,"Good","Excellent")))</f>
        <v>Poor</v>
      </c>
      <c r="P178" s="8" t="str">
        <f aca="false">IF(H178&lt;=5,"Low Frequency",IF(H178&lt;=10,"Moderate",IF(H178&lt;=15,"High","Very High")))</f>
        <v>Moderate</v>
      </c>
      <c r="Q178" s="8" t="str">
        <f aca="false">IF(K178&gt;=90,"Highly Satisfied",IF(K178&gt;=75,"Satisfied",IF(K178&gt;=60,"Neutral","Dissatisfied")))</f>
        <v>Highly Satisfied</v>
      </c>
      <c r="R178" s="8" t="str">
        <f aca="false">UPPER(LEFT(TRIM(J178),1))&amp;LOWER(MID(TRIM(J178),2,100))</f>
        <v>Silver</v>
      </c>
      <c r="S178" s="8" t="str">
        <f aca="false">IF(I178="High","Positive",IF(I178="Medium","Neutral","Negative"))</f>
        <v>Positive</v>
      </c>
      <c r="T178" s="8" t="str">
        <f aca="false">IF(AND(E178&gt;=80000,H178&gt;=15),"Premium",IF(AND(E178&gt;=50000,H178&gt;=10),"Standard","Basic"))</f>
        <v>Basic</v>
      </c>
      <c r="U178" s="8" t="str">
        <f aca="false">IF(AND(F178&gt;=7,G178&gt;=7),"High Quality Experience","Review Needed")</f>
        <v>Review Needed</v>
      </c>
      <c r="V178" s="8" t="str">
        <f aca="false">IF(H178&gt;=10,"Repeat Buyer","Occasional Buyer")</f>
        <v>Occasional Buyer</v>
      </c>
      <c r="W178" s="8" t="str">
        <f aca="false">IF(AND(K178&lt;70,I178="Low"),"At Risk","Stable")</f>
        <v>Stable</v>
      </c>
      <c r="X178" s="8" t="str">
        <f aca="false">IF(AND(K178&lt;75,I178="Low",J178="Bronze"),"Priority Followup","No Action")</f>
        <v>No Action</v>
      </c>
    </row>
    <row r="179" customFormat="false" ht="15" hidden="false" customHeight="false" outlineLevel="0" collapsed="false">
      <c r="A179" s="3" t="n">
        <v>177</v>
      </c>
      <c r="B179" s="3" t="n">
        <v>39</v>
      </c>
      <c r="C179" s="3" t="s">
        <v>17</v>
      </c>
      <c r="D179" s="3" t="s">
        <v>18</v>
      </c>
      <c r="E179" s="3" t="n">
        <v>114651</v>
      </c>
      <c r="F179" s="3" t="n">
        <v>4</v>
      </c>
      <c r="G179" s="3" t="n">
        <v>5</v>
      </c>
      <c r="H179" s="3" t="n">
        <v>9</v>
      </c>
      <c r="I179" s="3" t="s">
        <v>15</v>
      </c>
      <c r="J179" s="3" t="s">
        <v>16</v>
      </c>
      <c r="K179" s="3" t="n">
        <v>95.71</v>
      </c>
      <c r="L179" s="7" t="str">
        <f aca="false">IF(B179&lt;25,"Gen Z",IF(B179&lt;40,"Millennial",IF(B179&lt;55,"Gen X","Baby Boomer")))</f>
        <v>Millennial</v>
      </c>
      <c r="M179" s="7" t="str">
        <f aca="false">IF(E179&lt;50000,"Low Income",IF(E179&lt;80000,"Middle Income",IF(E179&lt;100000,"Upper Middle","High Income")))</f>
        <v>High Income</v>
      </c>
      <c r="N179" s="7" t="str">
        <f aca="false">IF(F179&lt;=3,"Poor",IF(F179&lt;=6,"Average",IF(F179&lt;=8,"Good","Excellent")))</f>
        <v>Average</v>
      </c>
      <c r="O179" s="7" t="str">
        <f aca="false">IF(G179&lt;=3,"Poor",IF(G179&lt;=6,"Average",IF(G179&lt;=8,"Good","Excellent")))</f>
        <v>Average</v>
      </c>
      <c r="P179" s="7" t="str">
        <f aca="false">IF(H179&lt;=5,"Low Frequency",IF(H179&lt;=10,"Moderate",IF(H179&lt;=15,"High","Very High")))</f>
        <v>Moderate</v>
      </c>
      <c r="Q179" s="7" t="str">
        <f aca="false">IF(K179&gt;=90,"Highly Satisfied",IF(K179&gt;=75,"Satisfied",IF(K179&gt;=60,"Neutral","Dissatisfied")))</f>
        <v>Highly Satisfied</v>
      </c>
      <c r="R179" s="7" t="str">
        <f aca="false">UPPER(LEFT(TRIM(J179),1))&amp;LOWER(MID(TRIM(J179),2,100))</f>
        <v>Gold</v>
      </c>
      <c r="S179" s="7" t="str">
        <f aca="false">IF(I179="High","Positive",IF(I179="Medium","Neutral","Negative"))</f>
        <v>Neutral</v>
      </c>
      <c r="T179" s="7" t="str">
        <f aca="false">IF(AND(E179&gt;=80000,H179&gt;=15),"Premium",IF(AND(E179&gt;=50000,H179&gt;=10),"Standard","Basic"))</f>
        <v>Basic</v>
      </c>
      <c r="U179" s="7" t="str">
        <f aca="false">IF(AND(F179&gt;=7,G179&gt;=7),"High Quality Experience","Review Needed")</f>
        <v>Review Needed</v>
      </c>
      <c r="V179" s="7" t="str">
        <f aca="false">IF(H179&gt;=10,"Repeat Buyer","Occasional Buyer")</f>
        <v>Occasional Buyer</v>
      </c>
      <c r="W179" s="7" t="str">
        <f aca="false">IF(AND(K179&lt;70,I179="Low"),"At Risk","Stable")</f>
        <v>Stable</v>
      </c>
      <c r="X179" s="7" t="str">
        <f aca="false">IF(AND(K179&lt;75,I179="Low",J179="Bronze"),"Priority Followup","No Action")</f>
        <v>No Action</v>
      </c>
    </row>
    <row r="180" customFormat="false" ht="15" hidden="false" customHeight="false" outlineLevel="0" collapsed="false">
      <c r="A180" s="2" t="n">
        <v>178</v>
      </c>
      <c r="B180" s="2" t="n">
        <v>45</v>
      </c>
      <c r="C180" s="2" t="s">
        <v>11</v>
      </c>
      <c r="D180" s="2" t="s">
        <v>23</v>
      </c>
      <c r="E180" s="2" t="n">
        <v>74007</v>
      </c>
      <c r="F180" s="2" t="n">
        <v>2</v>
      </c>
      <c r="G180" s="2" t="n">
        <v>9</v>
      </c>
      <c r="H180" s="2" t="n">
        <v>17</v>
      </c>
      <c r="I180" s="2" t="s">
        <v>13</v>
      </c>
      <c r="J180" s="2" t="s">
        <v>16</v>
      </c>
      <c r="K180" s="2" t="n">
        <v>98.36</v>
      </c>
      <c r="L180" s="8" t="str">
        <f aca="false">IF(B180&lt;25,"Gen Z",IF(B180&lt;40,"Millennial",IF(B180&lt;55,"Gen X","Baby Boomer")))</f>
        <v>Gen X</v>
      </c>
      <c r="M180" s="8" t="str">
        <f aca="false">IF(E180&lt;50000,"Low Income",IF(E180&lt;80000,"Middle Income",IF(E180&lt;100000,"Upper Middle","High Income")))</f>
        <v>Middle Income</v>
      </c>
      <c r="N180" s="8" t="str">
        <f aca="false">IF(F180&lt;=3,"Poor",IF(F180&lt;=6,"Average",IF(F180&lt;=8,"Good","Excellent")))</f>
        <v>Poor</v>
      </c>
      <c r="O180" s="8" t="str">
        <f aca="false">IF(G180&lt;=3,"Poor",IF(G180&lt;=6,"Average",IF(G180&lt;=8,"Good","Excellent")))</f>
        <v>Excellent</v>
      </c>
      <c r="P180" s="8" t="str">
        <f aca="false">IF(H180&lt;=5,"Low Frequency",IF(H180&lt;=10,"Moderate",IF(H180&lt;=15,"High","Very High")))</f>
        <v>Very High</v>
      </c>
      <c r="Q180" s="8" t="str">
        <f aca="false">IF(K180&gt;=90,"Highly Satisfied",IF(K180&gt;=75,"Satisfied",IF(K180&gt;=60,"Neutral","Dissatisfied")))</f>
        <v>Highly Satisfied</v>
      </c>
      <c r="R180" s="8" t="str">
        <f aca="false">UPPER(LEFT(TRIM(J180),1))&amp;LOWER(MID(TRIM(J180),2,100))</f>
        <v>Gold</v>
      </c>
      <c r="S180" s="8" t="str">
        <f aca="false">IF(I180="High","Positive",IF(I180="Medium","Neutral","Negative"))</f>
        <v>Negative</v>
      </c>
      <c r="T180" s="8" t="str">
        <f aca="false">IF(AND(E180&gt;=80000,H180&gt;=15),"Premium",IF(AND(E180&gt;=50000,H180&gt;=10),"Standard","Basic"))</f>
        <v>Standard</v>
      </c>
      <c r="U180" s="8" t="str">
        <f aca="false">IF(AND(F180&gt;=7,G180&gt;=7),"High Quality Experience","Review Needed")</f>
        <v>Review Needed</v>
      </c>
      <c r="V180" s="8" t="str">
        <f aca="false">IF(H180&gt;=10,"Repeat Buyer","Occasional Buyer")</f>
        <v>Repeat Buyer</v>
      </c>
      <c r="W180" s="8" t="str">
        <f aca="false">IF(AND(K180&lt;70,I180="Low"),"At Risk","Stable")</f>
        <v>Stable</v>
      </c>
      <c r="X180" s="8" t="str">
        <f aca="false">IF(AND(K180&lt;75,I180="Low",J180="Bronze"),"Priority Followup","No Action")</f>
        <v>No Action</v>
      </c>
    </row>
    <row r="181" customFormat="false" ht="15" hidden="false" customHeight="false" outlineLevel="0" collapsed="false">
      <c r="A181" s="3" t="n">
        <v>179</v>
      </c>
      <c r="B181" s="3" t="n">
        <v>19</v>
      </c>
      <c r="C181" s="3" t="s">
        <v>17</v>
      </c>
      <c r="D181" s="3" t="s">
        <v>22</v>
      </c>
      <c r="E181" s="3" t="n">
        <v>85498</v>
      </c>
      <c r="F181" s="3" t="n">
        <v>2</v>
      </c>
      <c r="G181" s="3" t="n">
        <v>8</v>
      </c>
      <c r="H181" s="3" t="n">
        <v>16</v>
      </c>
      <c r="I181" s="3" t="s">
        <v>21</v>
      </c>
      <c r="J181" s="3" t="s">
        <v>14</v>
      </c>
      <c r="K181" s="3" t="n">
        <v>100</v>
      </c>
      <c r="L181" s="7" t="str">
        <f aca="false">IF(B181&lt;25,"Gen Z",IF(B181&lt;40,"Millennial",IF(B181&lt;55,"Gen X","Baby Boomer")))</f>
        <v>Gen Z</v>
      </c>
      <c r="M181" s="7" t="str">
        <f aca="false">IF(E181&lt;50000,"Low Income",IF(E181&lt;80000,"Middle Income",IF(E181&lt;100000,"Upper Middle","High Income")))</f>
        <v>Upper Middle</v>
      </c>
      <c r="N181" s="7" t="str">
        <f aca="false">IF(F181&lt;=3,"Poor",IF(F181&lt;=6,"Average",IF(F181&lt;=8,"Good","Excellent")))</f>
        <v>Poor</v>
      </c>
      <c r="O181" s="7" t="str">
        <f aca="false">IF(G181&lt;=3,"Poor",IF(G181&lt;=6,"Average",IF(G181&lt;=8,"Good","Excellent")))</f>
        <v>Good</v>
      </c>
      <c r="P181" s="7" t="str">
        <f aca="false">IF(H181&lt;=5,"Low Frequency",IF(H181&lt;=10,"Moderate",IF(H181&lt;=15,"High","Very High")))</f>
        <v>Very High</v>
      </c>
      <c r="Q181" s="7" t="str">
        <f aca="false">IF(K181&gt;=90,"Highly Satisfied",IF(K181&gt;=75,"Satisfied",IF(K181&gt;=60,"Neutral","Dissatisfied")))</f>
        <v>Highly Satisfied</v>
      </c>
      <c r="R181" s="7" t="str">
        <f aca="false">UPPER(LEFT(TRIM(J181),1))&amp;LOWER(MID(TRIM(J181),2,100))</f>
        <v>Bronze</v>
      </c>
      <c r="S181" s="7" t="str">
        <f aca="false">IF(I181="High","Positive",IF(I181="Medium","Neutral","Negative"))</f>
        <v>Positive</v>
      </c>
      <c r="T181" s="7" t="str">
        <f aca="false">IF(AND(E181&gt;=80000,H181&gt;=15),"Premium",IF(AND(E181&gt;=50000,H181&gt;=10),"Standard","Basic"))</f>
        <v>Premium</v>
      </c>
      <c r="U181" s="7" t="str">
        <f aca="false">IF(AND(F181&gt;=7,G181&gt;=7),"High Quality Experience","Review Needed")</f>
        <v>Review Needed</v>
      </c>
      <c r="V181" s="7" t="str">
        <f aca="false">IF(H181&gt;=10,"Repeat Buyer","Occasional Buyer")</f>
        <v>Repeat Buyer</v>
      </c>
      <c r="W181" s="7" t="str">
        <f aca="false">IF(AND(K181&lt;70,I181="Low"),"At Risk","Stable")</f>
        <v>Stable</v>
      </c>
      <c r="X181" s="7" t="str">
        <f aca="false">IF(AND(K181&lt;75,I181="Low",J181="Bronze"),"Priority Followup","No Action")</f>
        <v>No Action</v>
      </c>
    </row>
    <row r="182" customFormat="false" ht="15" hidden="false" customHeight="false" outlineLevel="0" collapsed="false">
      <c r="A182" s="2" t="n">
        <v>180</v>
      </c>
      <c r="B182" s="2" t="n">
        <v>59</v>
      </c>
      <c r="C182" s="2" t="s">
        <v>17</v>
      </c>
      <c r="D182" s="2" t="s">
        <v>23</v>
      </c>
      <c r="E182" s="2" t="n">
        <v>77155</v>
      </c>
      <c r="F182" s="2" t="n">
        <v>1</v>
      </c>
      <c r="G182" s="2" t="n">
        <v>7</v>
      </c>
      <c r="H182" s="2" t="n">
        <v>18</v>
      </c>
      <c r="I182" s="2" t="s">
        <v>13</v>
      </c>
      <c r="J182" s="2" t="s">
        <v>19</v>
      </c>
      <c r="K182" s="2" t="n">
        <v>94.69</v>
      </c>
      <c r="L182" s="8" t="str">
        <f aca="false">IF(B182&lt;25,"Gen Z",IF(B182&lt;40,"Millennial",IF(B182&lt;55,"Gen X","Baby Boomer")))</f>
        <v>Baby Boomer</v>
      </c>
      <c r="M182" s="8" t="str">
        <f aca="false">IF(E182&lt;50000,"Low Income",IF(E182&lt;80000,"Middle Income",IF(E182&lt;100000,"Upper Middle","High Income")))</f>
        <v>Middle Income</v>
      </c>
      <c r="N182" s="8" t="str">
        <f aca="false">IF(F182&lt;=3,"Poor",IF(F182&lt;=6,"Average",IF(F182&lt;=8,"Good","Excellent")))</f>
        <v>Poor</v>
      </c>
      <c r="O182" s="8" t="str">
        <f aca="false">IF(G182&lt;=3,"Poor",IF(G182&lt;=6,"Average",IF(G182&lt;=8,"Good","Excellent")))</f>
        <v>Good</v>
      </c>
      <c r="P182" s="8" t="str">
        <f aca="false">IF(H182&lt;=5,"Low Frequency",IF(H182&lt;=10,"Moderate",IF(H182&lt;=15,"High","Very High")))</f>
        <v>Very High</v>
      </c>
      <c r="Q182" s="8" t="str">
        <f aca="false">IF(K182&gt;=90,"Highly Satisfied",IF(K182&gt;=75,"Satisfied",IF(K182&gt;=60,"Neutral","Dissatisfied")))</f>
        <v>Highly Satisfied</v>
      </c>
      <c r="R182" s="8" t="str">
        <f aca="false">UPPER(LEFT(TRIM(J182),1))&amp;LOWER(MID(TRIM(J182),2,100))</f>
        <v>Silver</v>
      </c>
      <c r="S182" s="8" t="str">
        <f aca="false">IF(I182="High","Positive",IF(I182="Medium","Neutral","Negative"))</f>
        <v>Negative</v>
      </c>
      <c r="T182" s="8" t="str">
        <f aca="false">IF(AND(E182&gt;=80000,H182&gt;=15),"Premium",IF(AND(E182&gt;=50000,H182&gt;=10),"Standard","Basic"))</f>
        <v>Standard</v>
      </c>
      <c r="U182" s="8" t="str">
        <f aca="false">IF(AND(F182&gt;=7,G182&gt;=7),"High Quality Experience","Review Needed")</f>
        <v>Review Needed</v>
      </c>
      <c r="V182" s="8" t="str">
        <f aca="false">IF(H182&gt;=10,"Repeat Buyer","Occasional Buyer")</f>
        <v>Repeat Buyer</v>
      </c>
      <c r="W182" s="8" t="str">
        <f aca="false">IF(AND(K182&lt;70,I182="Low"),"At Risk","Stable")</f>
        <v>Stable</v>
      </c>
      <c r="X182" s="8" t="str">
        <f aca="false">IF(AND(K182&lt;75,I182="Low",J182="Bronze"),"Priority Followup","No Action")</f>
        <v>No Action</v>
      </c>
    </row>
    <row r="183" customFormat="false" ht="15" hidden="false" customHeight="false" outlineLevel="0" collapsed="false">
      <c r="A183" s="3" t="n">
        <v>181</v>
      </c>
      <c r="B183" s="3" t="n">
        <v>62</v>
      </c>
      <c r="C183" s="3" t="s">
        <v>17</v>
      </c>
      <c r="D183" s="3" t="s">
        <v>23</v>
      </c>
      <c r="E183" s="3" t="n">
        <v>42755</v>
      </c>
      <c r="F183" s="3" t="n">
        <v>5</v>
      </c>
      <c r="G183" s="3" t="n">
        <v>6</v>
      </c>
      <c r="H183" s="3" t="n">
        <v>19</v>
      </c>
      <c r="I183" s="3" t="s">
        <v>13</v>
      </c>
      <c r="J183" s="3" t="s">
        <v>14</v>
      </c>
      <c r="K183" s="3" t="n">
        <v>100</v>
      </c>
      <c r="L183" s="7" t="str">
        <f aca="false">IF(B183&lt;25,"Gen Z",IF(B183&lt;40,"Millennial",IF(B183&lt;55,"Gen X","Baby Boomer")))</f>
        <v>Baby Boomer</v>
      </c>
      <c r="M183" s="7" t="str">
        <f aca="false">IF(E183&lt;50000,"Low Income",IF(E183&lt;80000,"Middle Income",IF(E183&lt;100000,"Upper Middle","High Income")))</f>
        <v>Low Income</v>
      </c>
      <c r="N183" s="7" t="str">
        <f aca="false">IF(F183&lt;=3,"Poor",IF(F183&lt;=6,"Average",IF(F183&lt;=8,"Good","Excellent")))</f>
        <v>Average</v>
      </c>
      <c r="O183" s="7" t="str">
        <f aca="false">IF(G183&lt;=3,"Poor",IF(G183&lt;=6,"Average",IF(G183&lt;=8,"Good","Excellent")))</f>
        <v>Average</v>
      </c>
      <c r="P183" s="7" t="str">
        <f aca="false">IF(H183&lt;=5,"Low Frequency",IF(H183&lt;=10,"Moderate",IF(H183&lt;=15,"High","Very High")))</f>
        <v>Very High</v>
      </c>
      <c r="Q183" s="7" t="str">
        <f aca="false">IF(K183&gt;=90,"Highly Satisfied",IF(K183&gt;=75,"Satisfied",IF(K183&gt;=60,"Neutral","Dissatisfied")))</f>
        <v>Highly Satisfied</v>
      </c>
      <c r="R183" s="7" t="str">
        <f aca="false">UPPER(LEFT(TRIM(J183),1))&amp;LOWER(MID(TRIM(J183),2,100))</f>
        <v>Bronze</v>
      </c>
      <c r="S183" s="7" t="str">
        <f aca="false">IF(I183="High","Positive",IF(I183="Medium","Neutral","Negative"))</f>
        <v>Negative</v>
      </c>
      <c r="T183" s="7" t="str">
        <f aca="false">IF(AND(E183&gt;=80000,H183&gt;=15),"Premium",IF(AND(E183&gt;=50000,H183&gt;=10),"Standard","Basic"))</f>
        <v>Basic</v>
      </c>
      <c r="U183" s="7" t="str">
        <f aca="false">IF(AND(F183&gt;=7,G183&gt;=7),"High Quality Experience","Review Needed")</f>
        <v>Review Needed</v>
      </c>
      <c r="V183" s="7" t="str">
        <f aca="false">IF(H183&gt;=10,"Repeat Buyer","Occasional Buyer")</f>
        <v>Repeat Buyer</v>
      </c>
      <c r="W183" s="7" t="str">
        <f aca="false">IF(AND(K183&lt;70,I183="Low"),"At Risk","Stable")</f>
        <v>Stable</v>
      </c>
      <c r="X183" s="7" t="str">
        <f aca="false">IF(AND(K183&lt;75,I183="Low",J183="Bronze"),"Priority Followup","No Action")</f>
        <v>No Action</v>
      </c>
    </row>
    <row r="184" customFormat="false" ht="15" hidden="false" customHeight="false" outlineLevel="0" collapsed="false">
      <c r="A184" s="2" t="n">
        <v>182</v>
      </c>
      <c r="B184" s="2" t="n">
        <v>23</v>
      </c>
      <c r="C184" s="2" t="s">
        <v>11</v>
      </c>
      <c r="D184" s="2" t="s">
        <v>18</v>
      </c>
      <c r="E184" s="2" t="n">
        <v>41681</v>
      </c>
      <c r="F184" s="2" t="n">
        <v>6</v>
      </c>
      <c r="G184" s="2" t="n">
        <v>8</v>
      </c>
      <c r="H184" s="2" t="n">
        <v>2</v>
      </c>
      <c r="I184" s="2" t="s">
        <v>15</v>
      </c>
      <c r="J184" s="2" t="s">
        <v>19</v>
      </c>
      <c r="K184" s="2" t="n">
        <v>100</v>
      </c>
      <c r="L184" s="8" t="str">
        <f aca="false">IF(B184&lt;25,"Gen Z",IF(B184&lt;40,"Millennial",IF(B184&lt;55,"Gen X","Baby Boomer")))</f>
        <v>Gen Z</v>
      </c>
      <c r="M184" s="8" t="str">
        <f aca="false">IF(E184&lt;50000,"Low Income",IF(E184&lt;80000,"Middle Income",IF(E184&lt;100000,"Upper Middle","High Income")))</f>
        <v>Low Income</v>
      </c>
      <c r="N184" s="8" t="str">
        <f aca="false">IF(F184&lt;=3,"Poor",IF(F184&lt;=6,"Average",IF(F184&lt;=8,"Good","Excellent")))</f>
        <v>Average</v>
      </c>
      <c r="O184" s="8" t="str">
        <f aca="false">IF(G184&lt;=3,"Poor",IF(G184&lt;=6,"Average",IF(G184&lt;=8,"Good","Excellent")))</f>
        <v>Good</v>
      </c>
      <c r="P184" s="8" t="str">
        <f aca="false">IF(H184&lt;=5,"Low Frequency",IF(H184&lt;=10,"Moderate",IF(H184&lt;=15,"High","Very High")))</f>
        <v>Low Frequency</v>
      </c>
      <c r="Q184" s="8" t="str">
        <f aca="false">IF(K184&gt;=90,"Highly Satisfied",IF(K184&gt;=75,"Satisfied",IF(K184&gt;=60,"Neutral","Dissatisfied")))</f>
        <v>Highly Satisfied</v>
      </c>
      <c r="R184" s="8" t="str">
        <f aca="false">UPPER(LEFT(TRIM(J184),1))&amp;LOWER(MID(TRIM(J184),2,100))</f>
        <v>Silver</v>
      </c>
      <c r="S184" s="8" t="str">
        <f aca="false">IF(I184="High","Positive",IF(I184="Medium","Neutral","Negative"))</f>
        <v>Neutral</v>
      </c>
      <c r="T184" s="8" t="str">
        <f aca="false">IF(AND(E184&gt;=80000,H184&gt;=15),"Premium",IF(AND(E184&gt;=50000,H184&gt;=10),"Standard","Basic"))</f>
        <v>Basic</v>
      </c>
      <c r="U184" s="8" t="str">
        <f aca="false">IF(AND(F184&gt;=7,G184&gt;=7),"High Quality Experience","Review Needed")</f>
        <v>Review Needed</v>
      </c>
      <c r="V184" s="8" t="str">
        <f aca="false">IF(H184&gt;=10,"Repeat Buyer","Occasional Buyer")</f>
        <v>Occasional Buyer</v>
      </c>
      <c r="W184" s="8" t="str">
        <f aca="false">IF(AND(K184&lt;70,I184="Low"),"At Risk","Stable")</f>
        <v>Stable</v>
      </c>
      <c r="X184" s="8" t="str">
        <f aca="false">IF(AND(K184&lt;75,I184="Low",J184="Bronze"),"Priority Followup","No Action")</f>
        <v>No Action</v>
      </c>
    </row>
    <row r="185" customFormat="false" ht="15" hidden="false" customHeight="false" outlineLevel="0" collapsed="false">
      <c r="A185" s="3" t="n">
        <v>183</v>
      </c>
      <c r="B185" s="3" t="n">
        <v>45</v>
      </c>
      <c r="C185" s="3" t="s">
        <v>17</v>
      </c>
      <c r="D185" s="3" t="s">
        <v>22</v>
      </c>
      <c r="E185" s="3" t="n">
        <v>93484</v>
      </c>
      <c r="F185" s="3" t="n">
        <v>10</v>
      </c>
      <c r="G185" s="3" t="n">
        <v>1</v>
      </c>
      <c r="H185" s="3" t="n">
        <v>1</v>
      </c>
      <c r="I185" s="3" t="s">
        <v>21</v>
      </c>
      <c r="J185" s="3" t="s">
        <v>16</v>
      </c>
      <c r="K185" s="3" t="n">
        <v>85.16</v>
      </c>
      <c r="L185" s="7" t="str">
        <f aca="false">IF(B185&lt;25,"Gen Z",IF(B185&lt;40,"Millennial",IF(B185&lt;55,"Gen X","Baby Boomer")))</f>
        <v>Gen X</v>
      </c>
      <c r="M185" s="7" t="str">
        <f aca="false">IF(E185&lt;50000,"Low Income",IF(E185&lt;80000,"Middle Income",IF(E185&lt;100000,"Upper Middle","High Income")))</f>
        <v>Upper Middle</v>
      </c>
      <c r="N185" s="7" t="str">
        <f aca="false">IF(F185&lt;=3,"Poor",IF(F185&lt;=6,"Average",IF(F185&lt;=8,"Good","Excellent")))</f>
        <v>Excellent</v>
      </c>
      <c r="O185" s="7" t="str">
        <f aca="false">IF(G185&lt;=3,"Poor",IF(G185&lt;=6,"Average",IF(G185&lt;=8,"Good","Excellent")))</f>
        <v>Poor</v>
      </c>
      <c r="P185" s="7" t="str">
        <f aca="false">IF(H185&lt;=5,"Low Frequency",IF(H185&lt;=10,"Moderate",IF(H185&lt;=15,"High","Very High")))</f>
        <v>Low Frequency</v>
      </c>
      <c r="Q185" s="7" t="str">
        <f aca="false">IF(K185&gt;=90,"Highly Satisfied",IF(K185&gt;=75,"Satisfied",IF(K185&gt;=60,"Neutral","Dissatisfied")))</f>
        <v>Satisfied</v>
      </c>
      <c r="R185" s="7" t="str">
        <f aca="false">UPPER(LEFT(TRIM(J185),1))&amp;LOWER(MID(TRIM(J185),2,100))</f>
        <v>Gold</v>
      </c>
      <c r="S185" s="7" t="str">
        <f aca="false">IF(I185="High","Positive",IF(I185="Medium","Neutral","Negative"))</f>
        <v>Positive</v>
      </c>
      <c r="T185" s="7" t="str">
        <f aca="false">IF(AND(E185&gt;=80000,H185&gt;=15),"Premium",IF(AND(E185&gt;=50000,H185&gt;=10),"Standard","Basic"))</f>
        <v>Basic</v>
      </c>
      <c r="U185" s="7" t="str">
        <f aca="false">IF(AND(F185&gt;=7,G185&gt;=7),"High Quality Experience","Review Needed")</f>
        <v>Review Needed</v>
      </c>
      <c r="V185" s="7" t="str">
        <f aca="false">IF(H185&gt;=10,"Repeat Buyer","Occasional Buyer")</f>
        <v>Occasional Buyer</v>
      </c>
      <c r="W185" s="7" t="str">
        <f aca="false">IF(AND(K185&lt;70,I185="Low"),"At Risk","Stable")</f>
        <v>Stable</v>
      </c>
      <c r="X185" s="7" t="str">
        <f aca="false">IF(AND(K185&lt;75,I185="Low",J185="Bronze"),"Priority Followup","No Action")</f>
        <v>No Action</v>
      </c>
    </row>
    <row r="186" customFormat="false" ht="15" hidden="false" customHeight="false" outlineLevel="0" collapsed="false">
      <c r="A186" s="2" t="n">
        <v>184</v>
      </c>
      <c r="B186" s="2" t="n">
        <v>45</v>
      </c>
      <c r="C186" s="2" t="s">
        <v>11</v>
      </c>
      <c r="D186" s="2" t="s">
        <v>12</v>
      </c>
      <c r="E186" s="2" t="n">
        <v>63682</v>
      </c>
      <c r="F186" s="2" t="n">
        <v>2</v>
      </c>
      <c r="G186" s="2" t="n">
        <v>2</v>
      </c>
      <c r="H186" s="2" t="n">
        <v>12</v>
      </c>
      <c r="I186" s="2" t="s">
        <v>13</v>
      </c>
      <c r="J186" s="2" t="s">
        <v>16</v>
      </c>
      <c r="K186" s="2" t="n">
        <v>62.22</v>
      </c>
      <c r="L186" s="8" t="str">
        <f aca="false">IF(B186&lt;25,"Gen Z",IF(B186&lt;40,"Millennial",IF(B186&lt;55,"Gen X","Baby Boomer")))</f>
        <v>Gen X</v>
      </c>
      <c r="M186" s="8" t="str">
        <f aca="false">IF(E186&lt;50000,"Low Income",IF(E186&lt;80000,"Middle Income",IF(E186&lt;100000,"Upper Middle","High Income")))</f>
        <v>Middle Income</v>
      </c>
      <c r="N186" s="8" t="str">
        <f aca="false">IF(F186&lt;=3,"Poor",IF(F186&lt;=6,"Average",IF(F186&lt;=8,"Good","Excellent")))</f>
        <v>Poor</v>
      </c>
      <c r="O186" s="8" t="str">
        <f aca="false">IF(G186&lt;=3,"Poor",IF(G186&lt;=6,"Average",IF(G186&lt;=8,"Good","Excellent")))</f>
        <v>Poor</v>
      </c>
      <c r="P186" s="8" t="str">
        <f aca="false">IF(H186&lt;=5,"Low Frequency",IF(H186&lt;=10,"Moderate",IF(H186&lt;=15,"High","Very High")))</f>
        <v>High</v>
      </c>
      <c r="Q186" s="8" t="str">
        <f aca="false">IF(K186&gt;=90,"Highly Satisfied",IF(K186&gt;=75,"Satisfied",IF(K186&gt;=60,"Neutral","Dissatisfied")))</f>
        <v>Neutral</v>
      </c>
      <c r="R186" s="8" t="str">
        <f aca="false">UPPER(LEFT(TRIM(J186),1))&amp;LOWER(MID(TRIM(J186),2,100))</f>
        <v>Gold</v>
      </c>
      <c r="S186" s="8" t="str">
        <f aca="false">IF(I186="High","Positive",IF(I186="Medium","Neutral","Negative"))</f>
        <v>Negative</v>
      </c>
      <c r="T186" s="8" t="str">
        <f aca="false">IF(AND(E186&gt;=80000,H186&gt;=15),"Premium",IF(AND(E186&gt;=50000,H186&gt;=10),"Standard","Basic"))</f>
        <v>Standard</v>
      </c>
      <c r="U186" s="8" t="str">
        <f aca="false">IF(AND(F186&gt;=7,G186&gt;=7),"High Quality Experience","Review Needed")</f>
        <v>Review Needed</v>
      </c>
      <c r="V186" s="8" t="str">
        <f aca="false">IF(H186&gt;=10,"Repeat Buyer","Occasional Buyer")</f>
        <v>Repeat Buyer</v>
      </c>
      <c r="W186" s="8" t="str">
        <f aca="false">IF(AND(K186&lt;70,I186="Low"),"At Risk","Stable")</f>
        <v>At Risk</v>
      </c>
      <c r="X186" s="8" t="str">
        <f aca="false">IF(AND(K186&lt;75,I186="Low",J186="Bronze"),"Priority Followup","No Action")</f>
        <v>No Action</v>
      </c>
    </row>
    <row r="187" customFormat="false" ht="15" hidden="false" customHeight="false" outlineLevel="0" collapsed="false">
      <c r="A187" s="3" t="n">
        <v>185</v>
      </c>
      <c r="B187" s="3" t="n">
        <v>61</v>
      </c>
      <c r="C187" s="3" t="s">
        <v>17</v>
      </c>
      <c r="D187" s="3" t="s">
        <v>20</v>
      </c>
      <c r="E187" s="3" t="n">
        <v>68904</v>
      </c>
      <c r="F187" s="3" t="n">
        <v>3</v>
      </c>
      <c r="G187" s="3" t="n">
        <v>8</v>
      </c>
      <c r="H187" s="3" t="n">
        <v>2</v>
      </c>
      <c r="I187" s="3" t="s">
        <v>21</v>
      </c>
      <c r="J187" s="3" t="s">
        <v>14</v>
      </c>
      <c r="K187" s="3" t="n">
        <v>100</v>
      </c>
      <c r="L187" s="7" t="str">
        <f aca="false">IF(B187&lt;25,"Gen Z",IF(B187&lt;40,"Millennial",IF(B187&lt;55,"Gen X","Baby Boomer")))</f>
        <v>Baby Boomer</v>
      </c>
      <c r="M187" s="7" t="str">
        <f aca="false">IF(E187&lt;50000,"Low Income",IF(E187&lt;80000,"Middle Income",IF(E187&lt;100000,"Upper Middle","High Income")))</f>
        <v>Middle Income</v>
      </c>
      <c r="N187" s="7" t="str">
        <f aca="false">IF(F187&lt;=3,"Poor",IF(F187&lt;=6,"Average",IF(F187&lt;=8,"Good","Excellent")))</f>
        <v>Poor</v>
      </c>
      <c r="O187" s="7" t="str">
        <f aca="false">IF(G187&lt;=3,"Poor",IF(G187&lt;=6,"Average",IF(G187&lt;=8,"Good","Excellent")))</f>
        <v>Good</v>
      </c>
      <c r="P187" s="7" t="str">
        <f aca="false">IF(H187&lt;=5,"Low Frequency",IF(H187&lt;=10,"Moderate",IF(H187&lt;=15,"High","Very High")))</f>
        <v>Low Frequency</v>
      </c>
      <c r="Q187" s="7" t="str">
        <f aca="false">IF(K187&gt;=90,"Highly Satisfied",IF(K187&gt;=75,"Satisfied",IF(K187&gt;=60,"Neutral","Dissatisfied")))</f>
        <v>Highly Satisfied</v>
      </c>
      <c r="R187" s="7" t="str">
        <f aca="false">UPPER(LEFT(TRIM(J187),1))&amp;LOWER(MID(TRIM(J187),2,100))</f>
        <v>Bronze</v>
      </c>
      <c r="S187" s="7" t="str">
        <f aca="false">IF(I187="High","Positive",IF(I187="Medium","Neutral","Negative"))</f>
        <v>Positive</v>
      </c>
      <c r="T187" s="7" t="str">
        <f aca="false">IF(AND(E187&gt;=80000,H187&gt;=15),"Premium",IF(AND(E187&gt;=50000,H187&gt;=10),"Standard","Basic"))</f>
        <v>Basic</v>
      </c>
      <c r="U187" s="7" t="str">
        <f aca="false">IF(AND(F187&gt;=7,G187&gt;=7),"High Quality Experience","Review Needed")</f>
        <v>Review Needed</v>
      </c>
      <c r="V187" s="7" t="str">
        <f aca="false">IF(H187&gt;=10,"Repeat Buyer","Occasional Buyer")</f>
        <v>Occasional Buyer</v>
      </c>
      <c r="W187" s="7" t="str">
        <f aca="false">IF(AND(K187&lt;70,I187="Low"),"At Risk","Stable")</f>
        <v>Stable</v>
      </c>
      <c r="X187" s="7" t="str">
        <f aca="false">IF(AND(K187&lt;75,I187="Low",J187="Bronze"),"Priority Followup","No Action")</f>
        <v>No Action</v>
      </c>
    </row>
    <row r="188" customFormat="false" ht="15" hidden="false" customHeight="false" outlineLevel="0" collapsed="false">
      <c r="A188" s="2" t="n">
        <v>186</v>
      </c>
      <c r="B188" s="2" t="n">
        <v>61</v>
      </c>
      <c r="C188" s="2" t="s">
        <v>17</v>
      </c>
      <c r="D188" s="2" t="s">
        <v>23</v>
      </c>
      <c r="E188" s="2" t="n">
        <v>49947</v>
      </c>
      <c r="F188" s="2" t="n">
        <v>3</v>
      </c>
      <c r="G188" s="2" t="n">
        <v>6</v>
      </c>
      <c r="H188" s="2" t="n">
        <v>14</v>
      </c>
      <c r="I188" s="2" t="s">
        <v>15</v>
      </c>
      <c r="J188" s="2" t="s">
        <v>16</v>
      </c>
      <c r="K188" s="2" t="n">
        <v>77.78</v>
      </c>
      <c r="L188" s="8" t="str">
        <f aca="false">IF(B188&lt;25,"Gen Z",IF(B188&lt;40,"Millennial",IF(B188&lt;55,"Gen X","Baby Boomer")))</f>
        <v>Baby Boomer</v>
      </c>
      <c r="M188" s="8" t="str">
        <f aca="false">IF(E188&lt;50000,"Low Income",IF(E188&lt;80000,"Middle Income",IF(E188&lt;100000,"Upper Middle","High Income")))</f>
        <v>Low Income</v>
      </c>
      <c r="N188" s="8" t="str">
        <f aca="false">IF(F188&lt;=3,"Poor",IF(F188&lt;=6,"Average",IF(F188&lt;=8,"Good","Excellent")))</f>
        <v>Poor</v>
      </c>
      <c r="O188" s="8" t="str">
        <f aca="false">IF(G188&lt;=3,"Poor",IF(G188&lt;=6,"Average",IF(G188&lt;=8,"Good","Excellent")))</f>
        <v>Average</v>
      </c>
      <c r="P188" s="8" t="str">
        <f aca="false">IF(H188&lt;=5,"Low Frequency",IF(H188&lt;=10,"Moderate",IF(H188&lt;=15,"High","Very High")))</f>
        <v>High</v>
      </c>
      <c r="Q188" s="8" t="str">
        <f aca="false">IF(K188&gt;=90,"Highly Satisfied",IF(K188&gt;=75,"Satisfied",IF(K188&gt;=60,"Neutral","Dissatisfied")))</f>
        <v>Satisfied</v>
      </c>
      <c r="R188" s="8" t="str">
        <f aca="false">UPPER(LEFT(TRIM(J188),1))&amp;LOWER(MID(TRIM(J188),2,100))</f>
        <v>Gold</v>
      </c>
      <c r="S188" s="8" t="str">
        <f aca="false">IF(I188="High","Positive",IF(I188="Medium","Neutral","Negative"))</f>
        <v>Neutral</v>
      </c>
      <c r="T188" s="8" t="str">
        <f aca="false">IF(AND(E188&gt;=80000,H188&gt;=15),"Premium",IF(AND(E188&gt;=50000,H188&gt;=10),"Standard","Basic"))</f>
        <v>Basic</v>
      </c>
      <c r="U188" s="8" t="str">
        <f aca="false">IF(AND(F188&gt;=7,G188&gt;=7),"High Quality Experience","Review Needed")</f>
        <v>Review Needed</v>
      </c>
      <c r="V188" s="8" t="str">
        <f aca="false">IF(H188&gt;=10,"Repeat Buyer","Occasional Buyer")</f>
        <v>Repeat Buyer</v>
      </c>
      <c r="W188" s="8" t="str">
        <f aca="false">IF(AND(K188&lt;70,I188="Low"),"At Risk","Stable")</f>
        <v>Stable</v>
      </c>
      <c r="X188" s="8" t="str">
        <f aca="false">IF(AND(K188&lt;75,I188="Low",J188="Bronze"),"Priority Followup","No Action")</f>
        <v>No Action</v>
      </c>
    </row>
    <row r="189" customFormat="false" ht="15" hidden="false" customHeight="false" outlineLevel="0" collapsed="false">
      <c r="A189" s="3" t="n">
        <v>187</v>
      </c>
      <c r="B189" s="3" t="n">
        <v>37</v>
      </c>
      <c r="C189" s="3" t="s">
        <v>17</v>
      </c>
      <c r="D189" s="3" t="s">
        <v>23</v>
      </c>
      <c r="E189" s="3" t="n">
        <v>51696</v>
      </c>
      <c r="F189" s="3" t="n">
        <v>7</v>
      </c>
      <c r="G189" s="3" t="n">
        <v>7</v>
      </c>
      <c r="H189" s="3" t="n">
        <v>19</v>
      </c>
      <c r="I189" s="3" t="s">
        <v>13</v>
      </c>
      <c r="J189" s="3" t="s">
        <v>19</v>
      </c>
      <c r="K189" s="3" t="n">
        <v>100</v>
      </c>
      <c r="L189" s="7" t="str">
        <f aca="false">IF(B189&lt;25,"Gen Z",IF(B189&lt;40,"Millennial",IF(B189&lt;55,"Gen X","Baby Boomer")))</f>
        <v>Millennial</v>
      </c>
      <c r="M189" s="7" t="str">
        <f aca="false">IF(E189&lt;50000,"Low Income",IF(E189&lt;80000,"Middle Income",IF(E189&lt;100000,"Upper Middle","High Income")))</f>
        <v>Middle Income</v>
      </c>
      <c r="N189" s="7" t="str">
        <f aca="false">IF(F189&lt;=3,"Poor",IF(F189&lt;=6,"Average",IF(F189&lt;=8,"Good","Excellent")))</f>
        <v>Good</v>
      </c>
      <c r="O189" s="7" t="str">
        <f aca="false">IF(G189&lt;=3,"Poor",IF(G189&lt;=6,"Average",IF(G189&lt;=8,"Good","Excellent")))</f>
        <v>Good</v>
      </c>
      <c r="P189" s="7" t="str">
        <f aca="false">IF(H189&lt;=5,"Low Frequency",IF(H189&lt;=10,"Moderate",IF(H189&lt;=15,"High","Very High")))</f>
        <v>Very High</v>
      </c>
      <c r="Q189" s="7" t="str">
        <f aca="false">IF(K189&gt;=90,"Highly Satisfied",IF(K189&gt;=75,"Satisfied",IF(K189&gt;=60,"Neutral","Dissatisfied")))</f>
        <v>Highly Satisfied</v>
      </c>
      <c r="R189" s="7" t="str">
        <f aca="false">UPPER(LEFT(TRIM(J189),1))&amp;LOWER(MID(TRIM(J189),2,100))</f>
        <v>Silver</v>
      </c>
      <c r="S189" s="7" t="str">
        <f aca="false">IF(I189="High","Positive",IF(I189="Medium","Neutral","Negative"))</f>
        <v>Negative</v>
      </c>
      <c r="T189" s="7" t="str">
        <f aca="false">IF(AND(E189&gt;=80000,H189&gt;=15),"Premium",IF(AND(E189&gt;=50000,H189&gt;=10),"Standard","Basic"))</f>
        <v>Standard</v>
      </c>
      <c r="U189" s="7" t="str">
        <f aca="false">IF(AND(F189&gt;=7,G189&gt;=7),"High Quality Experience","Review Needed")</f>
        <v>High Quality Experience</v>
      </c>
      <c r="V189" s="7" t="str">
        <f aca="false">IF(H189&gt;=10,"Repeat Buyer","Occasional Buyer")</f>
        <v>Repeat Buyer</v>
      </c>
      <c r="W189" s="7" t="str">
        <f aca="false">IF(AND(K189&lt;70,I189="Low"),"At Risk","Stable")</f>
        <v>Stable</v>
      </c>
      <c r="X189" s="7" t="str">
        <f aca="false">IF(AND(K189&lt;75,I189="Low",J189="Bronze"),"Priority Followup","No Action")</f>
        <v>No Action</v>
      </c>
    </row>
    <row r="190" customFormat="false" ht="15" hidden="false" customHeight="false" outlineLevel="0" collapsed="false">
      <c r="A190" s="2" t="n">
        <v>188</v>
      </c>
      <c r="B190" s="2" t="n">
        <v>47</v>
      </c>
      <c r="C190" s="2" t="s">
        <v>11</v>
      </c>
      <c r="D190" s="2" t="s">
        <v>18</v>
      </c>
      <c r="E190" s="2" t="n">
        <v>56756</v>
      </c>
      <c r="F190" s="2" t="n">
        <v>8</v>
      </c>
      <c r="G190" s="2" t="n">
        <v>5</v>
      </c>
      <c r="H190" s="2" t="n">
        <v>3</v>
      </c>
      <c r="I190" s="2" t="s">
        <v>21</v>
      </c>
      <c r="J190" s="2" t="s">
        <v>14</v>
      </c>
      <c r="K190" s="2" t="n">
        <v>92.55</v>
      </c>
      <c r="L190" s="8" t="str">
        <f aca="false">IF(B190&lt;25,"Gen Z",IF(B190&lt;40,"Millennial",IF(B190&lt;55,"Gen X","Baby Boomer")))</f>
        <v>Gen X</v>
      </c>
      <c r="M190" s="8" t="str">
        <f aca="false">IF(E190&lt;50000,"Low Income",IF(E190&lt;80000,"Middle Income",IF(E190&lt;100000,"Upper Middle","High Income")))</f>
        <v>Middle Income</v>
      </c>
      <c r="N190" s="8" t="str">
        <f aca="false">IF(F190&lt;=3,"Poor",IF(F190&lt;=6,"Average",IF(F190&lt;=8,"Good","Excellent")))</f>
        <v>Good</v>
      </c>
      <c r="O190" s="8" t="str">
        <f aca="false">IF(G190&lt;=3,"Poor",IF(G190&lt;=6,"Average",IF(G190&lt;=8,"Good","Excellent")))</f>
        <v>Average</v>
      </c>
      <c r="P190" s="8" t="str">
        <f aca="false">IF(H190&lt;=5,"Low Frequency",IF(H190&lt;=10,"Moderate",IF(H190&lt;=15,"High","Very High")))</f>
        <v>Low Frequency</v>
      </c>
      <c r="Q190" s="8" t="str">
        <f aca="false">IF(K190&gt;=90,"Highly Satisfied",IF(K190&gt;=75,"Satisfied",IF(K190&gt;=60,"Neutral","Dissatisfied")))</f>
        <v>Highly Satisfied</v>
      </c>
      <c r="R190" s="8" t="str">
        <f aca="false">UPPER(LEFT(TRIM(J190),1))&amp;LOWER(MID(TRIM(J190),2,100))</f>
        <v>Bronze</v>
      </c>
      <c r="S190" s="8" t="str">
        <f aca="false">IF(I190="High","Positive",IF(I190="Medium","Neutral","Negative"))</f>
        <v>Positive</v>
      </c>
      <c r="T190" s="8" t="str">
        <f aca="false">IF(AND(E190&gt;=80000,H190&gt;=15),"Premium",IF(AND(E190&gt;=50000,H190&gt;=10),"Standard","Basic"))</f>
        <v>Basic</v>
      </c>
      <c r="U190" s="8" t="str">
        <f aca="false">IF(AND(F190&gt;=7,G190&gt;=7),"High Quality Experience","Review Needed")</f>
        <v>Review Needed</v>
      </c>
      <c r="V190" s="8" t="str">
        <f aca="false">IF(H190&gt;=10,"Repeat Buyer","Occasional Buyer")</f>
        <v>Occasional Buyer</v>
      </c>
      <c r="W190" s="8" t="str">
        <f aca="false">IF(AND(K190&lt;70,I190="Low"),"At Risk","Stable")</f>
        <v>Stable</v>
      </c>
      <c r="X190" s="8" t="str">
        <f aca="false">IF(AND(K190&lt;75,I190="Low",J190="Bronze"),"Priority Followup","No Action")</f>
        <v>No Action</v>
      </c>
    </row>
    <row r="191" customFormat="false" ht="15" hidden="false" customHeight="false" outlineLevel="0" collapsed="false">
      <c r="A191" s="3" t="n">
        <v>189</v>
      </c>
      <c r="B191" s="3" t="n">
        <v>28</v>
      </c>
      <c r="C191" s="3" t="s">
        <v>17</v>
      </c>
      <c r="D191" s="3" t="s">
        <v>18</v>
      </c>
      <c r="E191" s="3" t="n">
        <v>103912</v>
      </c>
      <c r="F191" s="3" t="n">
        <v>2</v>
      </c>
      <c r="G191" s="3" t="n">
        <v>7</v>
      </c>
      <c r="H191" s="3" t="n">
        <v>2</v>
      </c>
      <c r="I191" s="3" t="s">
        <v>21</v>
      </c>
      <c r="J191" s="3" t="s">
        <v>14</v>
      </c>
      <c r="K191" s="3" t="n">
        <v>69.02</v>
      </c>
      <c r="L191" s="7" t="str">
        <f aca="false">IF(B191&lt;25,"Gen Z",IF(B191&lt;40,"Millennial",IF(B191&lt;55,"Gen X","Baby Boomer")))</f>
        <v>Millennial</v>
      </c>
      <c r="M191" s="7" t="str">
        <f aca="false">IF(E191&lt;50000,"Low Income",IF(E191&lt;80000,"Middle Income",IF(E191&lt;100000,"Upper Middle","High Income")))</f>
        <v>High Income</v>
      </c>
      <c r="N191" s="7" t="str">
        <f aca="false">IF(F191&lt;=3,"Poor",IF(F191&lt;=6,"Average",IF(F191&lt;=8,"Good","Excellent")))</f>
        <v>Poor</v>
      </c>
      <c r="O191" s="7" t="str">
        <f aca="false">IF(G191&lt;=3,"Poor",IF(G191&lt;=6,"Average",IF(G191&lt;=8,"Good","Excellent")))</f>
        <v>Good</v>
      </c>
      <c r="P191" s="7" t="str">
        <f aca="false">IF(H191&lt;=5,"Low Frequency",IF(H191&lt;=10,"Moderate",IF(H191&lt;=15,"High","Very High")))</f>
        <v>Low Frequency</v>
      </c>
      <c r="Q191" s="7" t="str">
        <f aca="false">IF(K191&gt;=90,"Highly Satisfied",IF(K191&gt;=75,"Satisfied",IF(K191&gt;=60,"Neutral","Dissatisfied")))</f>
        <v>Neutral</v>
      </c>
      <c r="R191" s="7" t="str">
        <f aca="false">UPPER(LEFT(TRIM(J191),1))&amp;LOWER(MID(TRIM(J191),2,100))</f>
        <v>Bronze</v>
      </c>
      <c r="S191" s="7" t="str">
        <f aca="false">IF(I191="High","Positive",IF(I191="Medium","Neutral","Negative"))</f>
        <v>Positive</v>
      </c>
      <c r="T191" s="7" t="str">
        <f aca="false">IF(AND(E191&gt;=80000,H191&gt;=15),"Premium",IF(AND(E191&gt;=50000,H191&gt;=10),"Standard","Basic"))</f>
        <v>Basic</v>
      </c>
      <c r="U191" s="7" t="str">
        <f aca="false">IF(AND(F191&gt;=7,G191&gt;=7),"High Quality Experience","Review Needed")</f>
        <v>Review Needed</v>
      </c>
      <c r="V191" s="7" t="str">
        <f aca="false">IF(H191&gt;=10,"Repeat Buyer","Occasional Buyer")</f>
        <v>Occasional Buyer</v>
      </c>
      <c r="W191" s="7" t="str">
        <f aca="false">IF(AND(K191&lt;70,I191="Low"),"At Risk","Stable")</f>
        <v>Stable</v>
      </c>
      <c r="X191" s="7" t="str">
        <f aca="false">IF(AND(K191&lt;75,I191="Low",J191="Bronze"),"Priority Followup","No Action")</f>
        <v>No Action</v>
      </c>
    </row>
    <row r="192" customFormat="false" ht="15" hidden="false" customHeight="false" outlineLevel="0" collapsed="false">
      <c r="A192" s="2" t="n">
        <v>190</v>
      </c>
      <c r="B192" s="2" t="n">
        <v>45</v>
      </c>
      <c r="C192" s="2" t="s">
        <v>17</v>
      </c>
      <c r="D192" s="2" t="s">
        <v>18</v>
      </c>
      <c r="E192" s="2" t="n">
        <v>113093</v>
      </c>
      <c r="F192" s="2" t="n">
        <v>5</v>
      </c>
      <c r="G192" s="2" t="n">
        <v>9</v>
      </c>
      <c r="H192" s="2" t="n">
        <v>2</v>
      </c>
      <c r="I192" s="2" t="s">
        <v>13</v>
      </c>
      <c r="J192" s="2" t="s">
        <v>16</v>
      </c>
      <c r="K192" s="2" t="n">
        <v>100</v>
      </c>
      <c r="L192" s="8" t="str">
        <f aca="false">IF(B192&lt;25,"Gen Z",IF(B192&lt;40,"Millennial",IF(B192&lt;55,"Gen X","Baby Boomer")))</f>
        <v>Gen X</v>
      </c>
      <c r="M192" s="8" t="str">
        <f aca="false">IF(E192&lt;50000,"Low Income",IF(E192&lt;80000,"Middle Income",IF(E192&lt;100000,"Upper Middle","High Income")))</f>
        <v>High Income</v>
      </c>
      <c r="N192" s="8" t="str">
        <f aca="false">IF(F192&lt;=3,"Poor",IF(F192&lt;=6,"Average",IF(F192&lt;=8,"Good","Excellent")))</f>
        <v>Average</v>
      </c>
      <c r="O192" s="8" t="str">
        <f aca="false">IF(G192&lt;=3,"Poor",IF(G192&lt;=6,"Average",IF(G192&lt;=8,"Good","Excellent")))</f>
        <v>Excellent</v>
      </c>
      <c r="P192" s="8" t="str">
        <f aca="false">IF(H192&lt;=5,"Low Frequency",IF(H192&lt;=10,"Moderate",IF(H192&lt;=15,"High","Very High")))</f>
        <v>Low Frequency</v>
      </c>
      <c r="Q192" s="8" t="str">
        <f aca="false">IF(K192&gt;=90,"Highly Satisfied",IF(K192&gt;=75,"Satisfied",IF(K192&gt;=60,"Neutral","Dissatisfied")))</f>
        <v>Highly Satisfied</v>
      </c>
      <c r="R192" s="8" t="str">
        <f aca="false">UPPER(LEFT(TRIM(J192),1))&amp;LOWER(MID(TRIM(J192),2,100))</f>
        <v>Gold</v>
      </c>
      <c r="S192" s="8" t="str">
        <f aca="false">IF(I192="High","Positive",IF(I192="Medium","Neutral","Negative"))</f>
        <v>Negative</v>
      </c>
      <c r="T192" s="8" t="str">
        <f aca="false">IF(AND(E192&gt;=80000,H192&gt;=15),"Premium",IF(AND(E192&gt;=50000,H192&gt;=10),"Standard","Basic"))</f>
        <v>Basic</v>
      </c>
      <c r="U192" s="8" t="str">
        <f aca="false">IF(AND(F192&gt;=7,G192&gt;=7),"High Quality Experience","Review Needed")</f>
        <v>Review Needed</v>
      </c>
      <c r="V192" s="8" t="str">
        <f aca="false">IF(H192&gt;=10,"Repeat Buyer","Occasional Buyer")</f>
        <v>Occasional Buyer</v>
      </c>
      <c r="W192" s="8" t="str">
        <f aca="false">IF(AND(K192&lt;70,I192="Low"),"At Risk","Stable")</f>
        <v>Stable</v>
      </c>
      <c r="X192" s="8" t="str">
        <f aca="false">IF(AND(K192&lt;75,I192="Low",J192="Bronze"),"Priority Followup","No Action")</f>
        <v>No Action</v>
      </c>
    </row>
    <row r="193" customFormat="false" ht="15" hidden="false" customHeight="false" outlineLevel="0" collapsed="false">
      <c r="A193" s="3" t="n">
        <v>191</v>
      </c>
      <c r="B193" s="3" t="n">
        <v>42</v>
      </c>
      <c r="C193" s="3" t="s">
        <v>11</v>
      </c>
      <c r="D193" s="3" t="s">
        <v>22</v>
      </c>
      <c r="E193" s="3" t="n">
        <v>85553</v>
      </c>
      <c r="F193" s="3" t="n">
        <v>7</v>
      </c>
      <c r="G193" s="3" t="n">
        <v>5</v>
      </c>
      <c r="H193" s="3" t="n">
        <v>11</v>
      </c>
      <c r="I193" s="3" t="s">
        <v>21</v>
      </c>
      <c r="J193" s="3" t="s">
        <v>14</v>
      </c>
      <c r="K193" s="3" t="n">
        <v>100</v>
      </c>
      <c r="L193" s="7" t="str">
        <f aca="false">IF(B193&lt;25,"Gen Z",IF(B193&lt;40,"Millennial",IF(B193&lt;55,"Gen X","Baby Boomer")))</f>
        <v>Gen X</v>
      </c>
      <c r="M193" s="7" t="str">
        <f aca="false">IF(E193&lt;50000,"Low Income",IF(E193&lt;80000,"Middle Income",IF(E193&lt;100000,"Upper Middle","High Income")))</f>
        <v>Upper Middle</v>
      </c>
      <c r="N193" s="7" t="str">
        <f aca="false">IF(F193&lt;=3,"Poor",IF(F193&lt;=6,"Average",IF(F193&lt;=8,"Good","Excellent")))</f>
        <v>Good</v>
      </c>
      <c r="O193" s="7" t="str">
        <f aca="false">IF(G193&lt;=3,"Poor",IF(G193&lt;=6,"Average",IF(G193&lt;=8,"Good","Excellent")))</f>
        <v>Average</v>
      </c>
      <c r="P193" s="7" t="str">
        <f aca="false">IF(H193&lt;=5,"Low Frequency",IF(H193&lt;=10,"Moderate",IF(H193&lt;=15,"High","Very High")))</f>
        <v>High</v>
      </c>
      <c r="Q193" s="7" t="str">
        <f aca="false">IF(K193&gt;=90,"Highly Satisfied",IF(K193&gt;=75,"Satisfied",IF(K193&gt;=60,"Neutral","Dissatisfied")))</f>
        <v>Highly Satisfied</v>
      </c>
      <c r="R193" s="7" t="str">
        <f aca="false">UPPER(LEFT(TRIM(J193),1))&amp;LOWER(MID(TRIM(J193),2,100))</f>
        <v>Bronze</v>
      </c>
      <c r="S193" s="7" t="str">
        <f aca="false">IF(I193="High","Positive",IF(I193="Medium","Neutral","Negative"))</f>
        <v>Positive</v>
      </c>
      <c r="T193" s="7" t="str">
        <f aca="false">IF(AND(E193&gt;=80000,H193&gt;=15),"Premium",IF(AND(E193&gt;=50000,H193&gt;=10),"Standard","Basic"))</f>
        <v>Standard</v>
      </c>
      <c r="U193" s="7" t="str">
        <f aca="false">IF(AND(F193&gt;=7,G193&gt;=7),"High Quality Experience","Review Needed")</f>
        <v>Review Needed</v>
      </c>
      <c r="V193" s="7" t="str">
        <f aca="false">IF(H193&gt;=10,"Repeat Buyer","Occasional Buyer")</f>
        <v>Repeat Buyer</v>
      </c>
      <c r="W193" s="7" t="str">
        <f aca="false">IF(AND(K193&lt;70,I193="Low"),"At Risk","Stable")</f>
        <v>Stable</v>
      </c>
      <c r="X193" s="7" t="str">
        <f aca="false">IF(AND(K193&lt;75,I193="Low",J193="Bronze"),"Priority Followup","No Action")</f>
        <v>No Action</v>
      </c>
    </row>
    <row r="194" customFormat="false" ht="15" hidden="false" customHeight="false" outlineLevel="0" collapsed="false">
      <c r="A194" s="2" t="n">
        <v>192</v>
      </c>
      <c r="B194" s="2" t="n">
        <v>56</v>
      </c>
      <c r="C194" s="2" t="s">
        <v>17</v>
      </c>
      <c r="D194" s="2" t="s">
        <v>20</v>
      </c>
      <c r="E194" s="2" t="n">
        <v>37624</v>
      </c>
      <c r="F194" s="2" t="n">
        <v>8</v>
      </c>
      <c r="G194" s="2" t="n">
        <v>7</v>
      </c>
      <c r="H194" s="2" t="n">
        <v>2</v>
      </c>
      <c r="I194" s="2" t="s">
        <v>15</v>
      </c>
      <c r="J194" s="2" t="s">
        <v>14</v>
      </c>
      <c r="K194" s="2" t="n">
        <v>96.23</v>
      </c>
      <c r="L194" s="8" t="str">
        <f aca="false">IF(B194&lt;25,"Gen Z",IF(B194&lt;40,"Millennial",IF(B194&lt;55,"Gen X","Baby Boomer")))</f>
        <v>Baby Boomer</v>
      </c>
      <c r="M194" s="8" t="str">
        <f aca="false">IF(E194&lt;50000,"Low Income",IF(E194&lt;80000,"Middle Income",IF(E194&lt;100000,"Upper Middle","High Income")))</f>
        <v>Low Income</v>
      </c>
      <c r="N194" s="8" t="str">
        <f aca="false">IF(F194&lt;=3,"Poor",IF(F194&lt;=6,"Average",IF(F194&lt;=8,"Good","Excellent")))</f>
        <v>Good</v>
      </c>
      <c r="O194" s="8" t="str">
        <f aca="false">IF(G194&lt;=3,"Poor",IF(G194&lt;=6,"Average",IF(G194&lt;=8,"Good","Excellent")))</f>
        <v>Good</v>
      </c>
      <c r="P194" s="8" t="str">
        <f aca="false">IF(H194&lt;=5,"Low Frequency",IF(H194&lt;=10,"Moderate",IF(H194&lt;=15,"High","Very High")))</f>
        <v>Low Frequency</v>
      </c>
      <c r="Q194" s="8" t="str">
        <f aca="false">IF(K194&gt;=90,"Highly Satisfied",IF(K194&gt;=75,"Satisfied",IF(K194&gt;=60,"Neutral","Dissatisfied")))</f>
        <v>Highly Satisfied</v>
      </c>
      <c r="R194" s="8" t="str">
        <f aca="false">UPPER(LEFT(TRIM(J194),1))&amp;LOWER(MID(TRIM(J194),2,100))</f>
        <v>Bronze</v>
      </c>
      <c r="S194" s="8" t="str">
        <f aca="false">IF(I194="High","Positive",IF(I194="Medium","Neutral","Negative"))</f>
        <v>Neutral</v>
      </c>
      <c r="T194" s="8" t="str">
        <f aca="false">IF(AND(E194&gt;=80000,H194&gt;=15),"Premium",IF(AND(E194&gt;=50000,H194&gt;=10),"Standard","Basic"))</f>
        <v>Basic</v>
      </c>
      <c r="U194" s="8" t="str">
        <f aca="false">IF(AND(F194&gt;=7,G194&gt;=7),"High Quality Experience","Review Needed")</f>
        <v>High Quality Experience</v>
      </c>
      <c r="V194" s="8" t="str">
        <f aca="false">IF(H194&gt;=10,"Repeat Buyer","Occasional Buyer")</f>
        <v>Occasional Buyer</v>
      </c>
      <c r="W194" s="8" t="str">
        <f aca="false">IF(AND(K194&lt;70,I194="Low"),"At Risk","Stable")</f>
        <v>Stable</v>
      </c>
      <c r="X194" s="8" t="str">
        <f aca="false">IF(AND(K194&lt;75,I194="Low",J194="Bronze"),"Priority Followup","No Action")</f>
        <v>No Action</v>
      </c>
    </row>
    <row r="195" customFormat="false" ht="15" hidden="false" customHeight="false" outlineLevel="0" collapsed="false">
      <c r="A195" s="3" t="n">
        <v>193</v>
      </c>
      <c r="B195" s="3" t="n">
        <v>50</v>
      </c>
      <c r="C195" s="3" t="s">
        <v>17</v>
      </c>
      <c r="D195" s="3" t="s">
        <v>22</v>
      </c>
      <c r="E195" s="3" t="n">
        <v>106523</v>
      </c>
      <c r="F195" s="3" t="n">
        <v>10</v>
      </c>
      <c r="G195" s="3" t="n">
        <v>4</v>
      </c>
      <c r="H195" s="3" t="n">
        <v>17</v>
      </c>
      <c r="I195" s="3" t="s">
        <v>13</v>
      </c>
      <c r="J195" s="3" t="s">
        <v>14</v>
      </c>
      <c r="K195" s="3" t="n">
        <v>100</v>
      </c>
      <c r="L195" s="7" t="str">
        <f aca="false">IF(B195&lt;25,"Gen Z",IF(B195&lt;40,"Millennial",IF(B195&lt;55,"Gen X","Baby Boomer")))</f>
        <v>Gen X</v>
      </c>
      <c r="M195" s="7" t="str">
        <f aca="false">IF(E195&lt;50000,"Low Income",IF(E195&lt;80000,"Middle Income",IF(E195&lt;100000,"Upper Middle","High Income")))</f>
        <v>High Income</v>
      </c>
      <c r="N195" s="7" t="str">
        <f aca="false">IF(F195&lt;=3,"Poor",IF(F195&lt;=6,"Average",IF(F195&lt;=8,"Good","Excellent")))</f>
        <v>Excellent</v>
      </c>
      <c r="O195" s="7" t="str">
        <f aca="false">IF(G195&lt;=3,"Poor",IF(G195&lt;=6,"Average",IF(G195&lt;=8,"Good","Excellent")))</f>
        <v>Average</v>
      </c>
      <c r="P195" s="7" t="str">
        <f aca="false">IF(H195&lt;=5,"Low Frequency",IF(H195&lt;=10,"Moderate",IF(H195&lt;=15,"High","Very High")))</f>
        <v>Very High</v>
      </c>
      <c r="Q195" s="7" t="str">
        <f aca="false">IF(K195&gt;=90,"Highly Satisfied",IF(K195&gt;=75,"Satisfied",IF(K195&gt;=60,"Neutral","Dissatisfied")))</f>
        <v>Highly Satisfied</v>
      </c>
      <c r="R195" s="7" t="str">
        <f aca="false">UPPER(LEFT(TRIM(J195),1))&amp;LOWER(MID(TRIM(J195),2,100))</f>
        <v>Bronze</v>
      </c>
      <c r="S195" s="7" t="str">
        <f aca="false">IF(I195="High","Positive",IF(I195="Medium","Neutral","Negative"))</f>
        <v>Negative</v>
      </c>
      <c r="T195" s="7" t="str">
        <f aca="false">IF(AND(E195&gt;=80000,H195&gt;=15),"Premium",IF(AND(E195&gt;=50000,H195&gt;=10),"Standard","Basic"))</f>
        <v>Premium</v>
      </c>
      <c r="U195" s="7" t="str">
        <f aca="false">IF(AND(F195&gt;=7,G195&gt;=7),"High Quality Experience","Review Needed")</f>
        <v>Review Needed</v>
      </c>
      <c r="V195" s="7" t="str">
        <f aca="false">IF(H195&gt;=10,"Repeat Buyer","Occasional Buyer")</f>
        <v>Repeat Buyer</v>
      </c>
      <c r="W195" s="7" t="str">
        <f aca="false">IF(AND(K195&lt;70,I195="Low"),"At Risk","Stable")</f>
        <v>Stable</v>
      </c>
      <c r="X195" s="7" t="str">
        <f aca="false">IF(AND(K195&lt;75,I195="Low",J195="Bronze"),"Priority Followup","No Action")</f>
        <v>No Action</v>
      </c>
    </row>
    <row r="196" customFormat="false" ht="15" hidden="false" customHeight="false" outlineLevel="0" collapsed="false">
      <c r="A196" s="2" t="n">
        <v>194</v>
      </c>
      <c r="B196" s="2" t="n">
        <v>18</v>
      </c>
      <c r="C196" s="2" t="s">
        <v>17</v>
      </c>
      <c r="D196" s="2" t="s">
        <v>18</v>
      </c>
      <c r="E196" s="2" t="n">
        <v>96950</v>
      </c>
      <c r="F196" s="2" t="n">
        <v>3</v>
      </c>
      <c r="G196" s="2" t="n">
        <v>5</v>
      </c>
      <c r="H196" s="2" t="n">
        <v>12</v>
      </c>
      <c r="I196" s="2" t="s">
        <v>21</v>
      </c>
      <c r="J196" s="2" t="s">
        <v>14</v>
      </c>
      <c r="K196" s="2" t="n">
        <v>81.47</v>
      </c>
      <c r="L196" s="8" t="str">
        <f aca="false">IF(B196&lt;25,"Gen Z",IF(B196&lt;40,"Millennial",IF(B196&lt;55,"Gen X","Baby Boomer")))</f>
        <v>Gen Z</v>
      </c>
      <c r="M196" s="8" t="str">
        <f aca="false">IF(E196&lt;50000,"Low Income",IF(E196&lt;80000,"Middle Income",IF(E196&lt;100000,"Upper Middle","High Income")))</f>
        <v>Upper Middle</v>
      </c>
      <c r="N196" s="8" t="str">
        <f aca="false">IF(F196&lt;=3,"Poor",IF(F196&lt;=6,"Average",IF(F196&lt;=8,"Good","Excellent")))</f>
        <v>Poor</v>
      </c>
      <c r="O196" s="8" t="str">
        <f aca="false">IF(G196&lt;=3,"Poor",IF(G196&lt;=6,"Average",IF(G196&lt;=8,"Good","Excellent")))</f>
        <v>Average</v>
      </c>
      <c r="P196" s="8" t="str">
        <f aca="false">IF(H196&lt;=5,"Low Frequency",IF(H196&lt;=10,"Moderate",IF(H196&lt;=15,"High","Very High")))</f>
        <v>High</v>
      </c>
      <c r="Q196" s="8" t="str">
        <f aca="false">IF(K196&gt;=90,"Highly Satisfied",IF(K196&gt;=75,"Satisfied",IF(K196&gt;=60,"Neutral","Dissatisfied")))</f>
        <v>Satisfied</v>
      </c>
      <c r="R196" s="8" t="str">
        <f aca="false">UPPER(LEFT(TRIM(J196),1))&amp;LOWER(MID(TRIM(J196),2,100))</f>
        <v>Bronze</v>
      </c>
      <c r="S196" s="8" t="str">
        <f aca="false">IF(I196="High","Positive",IF(I196="Medium","Neutral","Negative"))</f>
        <v>Positive</v>
      </c>
      <c r="T196" s="8" t="str">
        <f aca="false">IF(AND(E196&gt;=80000,H196&gt;=15),"Premium",IF(AND(E196&gt;=50000,H196&gt;=10),"Standard","Basic"))</f>
        <v>Standard</v>
      </c>
      <c r="U196" s="8" t="str">
        <f aca="false">IF(AND(F196&gt;=7,G196&gt;=7),"High Quality Experience","Review Needed")</f>
        <v>Review Needed</v>
      </c>
      <c r="V196" s="8" t="str">
        <f aca="false">IF(H196&gt;=10,"Repeat Buyer","Occasional Buyer")</f>
        <v>Repeat Buyer</v>
      </c>
      <c r="W196" s="8" t="str">
        <f aca="false">IF(AND(K196&lt;70,I196="Low"),"At Risk","Stable")</f>
        <v>Stable</v>
      </c>
      <c r="X196" s="8" t="str">
        <f aca="false">IF(AND(K196&lt;75,I196="Low",J196="Bronze"),"Priority Followup","No Action")</f>
        <v>No Action</v>
      </c>
    </row>
    <row r="197" customFormat="false" ht="15" hidden="false" customHeight="false" outlineLevel="0" collapsed="false">
      <c r="A197" s="3" t="n">
        <v>195</v>
      </c>
      <c r="B197" s="3" t="n">
        <v>44</v>
      </c>
      <c r="C197" s="3" t="s">
        <v>17</v>
      </c>
      <c r="D197" s="3" t="s">
        <v>18</v>
      </c>
      <c r="E197" s="3" t="n">
        <v>63044</v>
      </c>
      <c r="F197" s="3" t="n">
        <v>6</v>
      </c>
      <c r="G197" s="3" t="n">
        <v>10</v>
      </c>
      <c r="H197" s="3" t="n">
        <v>12</v>
      </c>
      <c r="I197" s="3" t="s">
        <v>15</v>
      </c>
      <c r="J197" s="3" t="s">
        <v>19</v>
      </c>
      <c r="K197" s="3" t="n">
        <v>100</v>
      </c>
      <c r="L197" s="7" t="str">
        <f aca="false">IF(B197&lt;25,"Gen Z",IF(B197&lt;40,"Millennial",IF(B197&lt;55,"Gen X","Baby Boomer")))</f>
        <v>Gen X</v>
      </c>
      <c r="M197" s="7" t="str">
        <f aca="false">IF(E197&lt;50000,"Low Income",IF(E197&lt;80000,"Middle Income",IF(E197&lt;100000,"Upper Middle","High Income")))</f>
        <v>Middle Income</v>
      </c>
      <c r="N197" s="7" t="str">
        <f aca="false">IF(F197&lt;=3,"Poor",IF(F197&lt;=6,"Average",IF(F197&lt;=8,"Good","Excellent")))</f>
        <v>Average</v>
      </c>
      <c r="O197" s="7" t="str">
        <f aca="false">IF(G197&lt;=3,"Poor",IF(G197&lt;=6,"Average",IF(G197&lt;=8,"Good","Excellent")))</f>
        <v>Excellent</v>
      </c>
      <c r="P197" s="7" t="str">
        <f aca="false">IF(H197&lt;=5,"Low Frequency",IF(H197&lt;=10,"Moderate",IF(H197&lt;=15,"High","Very High")))</f>
        <v>High</v>
      </c>
      <c r="Q197" s="7" t="str">
        <f aca="false">IF(K197&gt;=90,"Highly Satisfied",IF(K197&gt;=75,"Satisfied",IF(K197&gt;=60,"Neutral","Dissatisfied")))</f>
        <v>Highly Satisfied</v>
      </c>
      <c r="R197" s="7" t="str">
        <f aca="false">UPPER(LEFT(TRIM(J197),1))&amp;LOWER(MID(TRIM(J197),2,100))</f>
        <v>Silver</v>
      </c>
      <c r="S197" s="7" t="str">
        <f aca="false">IF(I197="High","Positive",IF(I197="Medium","Neutral","Negative"))</f>
        <v>Neutral</v>
      </c>
      <c r="T197" s="7" t="str">
        <f aca="false">IF(AND(E197&gt;=80000,H197&gt;=15),"Premium",IF(AND(E197&gt;=50000,H197&gt;=10),"Standard","Basic"))</f>
        <v>Standard</v>
      </c>
      <c r="U197" s="7" t="str">
        <f aca="false">IF(AND(F197&gt;=7,G197&gt;=7),"High Quality Experience","Review Needed")</f>
        <v>Review Needed</v>
      </c>
      <c r="V197" s="7" t="str">
        <f aca="false">IF(H197&gt;=10,"Repeat Buyer","Occasional Buyer")</f>
        <v>Repeat Buyer</v>
      </c>
      <c r="W197" s="7" t="str">
        <f aca="false">IF(AND(K197&lt;70,I197="Low"),"At Risk","Stable")</f>
        <v>Stable</v>
      </c>
      <c r="X197" s="7" t="str">
        <f aca="false">IF(AND(K197&lt;75,I197="Low",J197="Bronze"),"Priority Followup","No Action")</f>
        <v>No Action</v>
      </c>
    </row>
    <row r="198" customFormat="false" ht="15" hidden="false" customHeight="false" outlineLevel="0" collapsed="false">
      <c r="A198" s="2" t="n">
        <v>196</v>
      </c>
      <c r="B198" s="2" t="n">
        <v>69</v>
      </c>
      <c r="C198" s="2" t="s">
        <v>17</v>
      </c>
      <c r="D198" s="2" t="s">
        <v>23</v>
      </c>
      <c r="E198" s="2" t="n">
        <v>107370</v>
      </c>
      <c r="F198" s="2" t="n">
        <v>9</v>
      </c>
      <c r="G198" s="2" t="n">
        <v>5</v>
      </c>
      <c r="H198" s="2" t="n">
        <v>17</v>
      </c>
      <c r="I198" s="2" t="s">
        <v>15</v>
      </c>
      <c r="J198" s="2" t="s">
        <v>19</v>
      </c>
      <c r="K198" s="2" t="n">
        <v>100</v>
      </c>
      <c r="L198" s="8" t="str">
        <f aca="false">IF(B198&lt;25,"Gen Z",IF(B198&lt;40,"Millennial",IF(B198&lt;55,"Gen X","Baby Boomer")))</f>
        <v>Baby Boomer</v>
      </c>
      <c r="M198" s="8" t="str">
        <f aca="false">IF(E198&lt;50000,"Low Income",IF(E198&lt;80000,"Middle Income",IF(E198&lt;100000,"Upper Middle","High Income")))</f>
        <v>High Income</v>
      </c>
      <c r="N198" s="8" t="str">
        <f aca="false">IF(F198&lt;=3,"Poor",IF(F198&lt;=6,"Average",IF(F198&lt;=8,"Good","Excellent")))</f>
        <v>Excellent</v>
      </c>
      <c r="O198" s="8" t="str">
        <f aca="false">IF(G198&lt;=3,"Poor",IF(G198&lt;=6,"Average",IF(G198&lt;=8,"Good","Excellent")))</f>
        <v>Average</v>
      </c>
      <c r="P198" s="8" t="str">
        <f aca="false">IF(H198&lt;=5,"Low Frequency",IF(H198&lt;=10,"Moderate",IF(H198&lt;=15,"High","Very High")))</f>
        <v>Very High</v>
      </c>
      <c r="Q198" s="8" t="str">
        <f aca="false">IF(K198&gt;=90,"Highly Satisfied",IF(K198&gt;=75,"Satisfied",IF(K198&gt;=60,"Neutral","Dissatisfied")))</f>
        <v>Highly Satisfied</v>
      </c>
      <c r="R198" s="8" t="str">
        <f aca="false">UPPER(LEFT(TRIM(J198),1))&amp;LOWER(MID(TRIM(J198),2,100))</f>
        <v>Silver</v>
      </c>
      <c r="S198" s="8" t="str">
        <f aca="false">IF(I198="High","Positive",IF(I198="Medium","Neutral","Negative"))</f>
        <v>Neutral</v>
      </c>
      <c r="T198" s="8" t="str">
        <f aca="false">IF(AND(E198&gt;=80000,H198&gt;=15),"Premium",IF(AND(E198&gt;=50000,H198&gt;=10),"Standard","Basic"))</f>
        <v>Premium</v>
      </c>
      <c r="U198" s="8" t="str">
        <f aca="false">IF(AND(F198&gt;=7,G198&gt;=7),"High Quality Experience","Review Needed")</f>
        <v>Review Needed</v>
      </c>
      <c r="V198" s="8" t="str">
        <f aca="false">IF(H198&gt;=10,"Repeat Buyer","Occasional Buyer")</f>
        <v>Repeat Buyer</v>
      </c>
      <c r="W198" s="8" t="str">
        <f aca="false">IF(AND(K198&lt;70,I198="Low"),"At Risk","Stable")</f>
        <v>Stable</v>
      </c>
      <c r="X198" s="8" t="str">
        <f aca="false">IF(AND(K198&lt;75,I198="Low",J198="Bronze"),"Priority Followup","No Action")</f>
        <v>No Action</v>
      </c>
    </row>
    <row r="199" customFormat="false" ht="15" hidden="false" customHeight="false" outlineLevel="0" collapsed="false">
      <c r="A199" s="3" t="n">
        <v>197</v>
      </c>
      <c r="B199" s="3" t="n">
        <v>30</v>
      </c>
      <c r="C199" s="3" t="s">
        <v>11</v>
      </c>
      <c r="D199" s="3" t="s">
        <v>22</v>
      </c>
      <c r="E199" s="3" t="n">
        <v>58424</v>
      </c>
      <c r="F199" s="3" t="n">
        <v>4</v>
      </c>
      <c r="G199" s="3" t="n">
        <v>5</v>
      </c>
      <c r="H199" s="3" t="n">
        <v>1</v>
      </c>
      <c r="I199" s="3" t="s">
        <v>13</v>
      </c>
      <c r="J199" s="3" t="s">
        <v>14</v>
      </c>
      <c r="K199" s="3" t="n">
        <v>67.86</v>
      </c>
      <c r="L199" s="7" t="str">
        <f aca="false">IF(B199&lt;25,"Gen Z",IF(B199&lt;40,"Millennial",IF(B199&lt;55,"Gen X","Baby Boomer")))</f>
        <v>Millennial</v>
      </c>
      <c r="M199" s="7" t="str">
        <f aca="false">IF(E199&lt;50000,"Low Income",IF(E199&lt;80000,"Middle Income",IF(E199&lt;100000,"Upper Middle","High Income")))</f>
        <v>Middle Income</v>
      </c>
      <c r="N199" s="7" t="str">
        <f aca="false">IF(F199&lt;=3,"Poor",IF(F199&lt;=6,"Average",IF(F199&lt;=8,"Good","Excellent")))</f>
        <v>Average</v>
      </c>
      <c r="O199" s="7" t="str">
        <f aca="false">IF(G199&lt;=3,"Poor",IF(G199&lt;=6,"Average",IF(G199&lt;=8,"Good","Excellent")))</f>
        <v>Average</v>
      </c>
      <c r="P199" s="7" t="str">
        <f aca="false">IF(H199&lt;=5,"Low Frequency",IF(H199&lt;=10,"Moderate",IF(H199&lt;=15,"High","Very High")))</f>
        <v>Low Frequency</v>
      </c>
      <c r="Q199" s="7" t="str">
        <f aca="false">IF(K199&gt;=90,"Highly Satisfied",IF(K199&gt;=75,"Satisfied",IF(K199&gt;=60,"Neutral","Dissatisfied")))</f>
        <v>Neutral</v>
      </c>
      <c r="R199" s="7" t="str">
        <f aca="false">UPPER(LEFT(TRIM(J199),1))&amp;LOWER(MID(TRIM(J199),2,100))</f>
        <v>Bronze</v>
      </c>
      <c r="S199" s="7" t="str">
        <f aca="false">IF(I199="High","Positive",IF(I199="Medium","Neutral","Negative"))</f>
        <v>Negative</v>
      </c>
      <c r="T199" s="7" t="str">
        <f aca="false">IF(AND(E199&gt;=80000,H199&gt;=15),"Premium",IF(AND(E199&gt;=50000,H199&gt;=10),"Standard","Basic"))</f>
        <v>Basic</v>
      </c>
      <c r="U199" s="7" t="str">
        <f aca="false">IF(AND(F199&gt;=7,G199&gt;=7),"High Quality Experience","Review Needed")</f>
        <v>Review Needed</v>
      </c>
      <c r="V199" s="7" t="str">
        <f aca="false">IF(H199&gt;=10,"Repeat Buyer","Occasional Buyer")</f>
        <v>Occasional Buyer</v>
      </c>
      <c r="W199" s="7" t="str">
        <f aca="false">IF(AND(K199&lt;70,I199="Low"),"At Risk","Stable")</f>
        <v>At Risk</v>
      </c>
      <c r="X199" s="7" t="str">
        <f aca="false">IF(AND(K199&lt;75,I199="Low",J199="Bronze"),"Priority Followup","No Action")</f>
        <v>Priority Followup</v>
      </c>
    </row>
    <row r="200" customFormat="false" ht="15" hidden="false" customHeight="false" outlineLevel="0" collapsed="false">
      <c r="A200" s="2" t="n">
        <v>198</v>
      </c>
      <c r="B200" s="2" t="n">
        <v>58</v>
      </c>
      <c r="C200" s="2" t="s">
        <v>17</v>
      </c>
      <c r="D200" s="2" t="s">
        <v>22</v>
      </c>
      <c r="E200" s="2" t="n">
        <v>58791</v>
      </c>
      <c r="F200" s="2" t="n">
        <v>6</v>
      </c>
      <c r="G200" s="2" t="n">
        <v>3</v>
      </c>
      <c r="H200" s="2" t="n">
        <v>8</v>
      </c>
      <c r="I200" s="2" t="s">
        <v>15</v>
      </c>
      <c r="J200" s="2" t="s">
        <v>19</v>
      </c>
      <c r="K200" s="2" t="n">
        <v>78.6</v>
      </c>
      <c r="L200" s="8" t="str">
        <f aca="false">IF(B200&lt;25,"Gen Z",IF(B200&lt;40,"Millennial",IF(B200&lt;55,"Gen X","Baby Boomer")))</f>
        <v>Baby Boomer</v>
      </c>
      <c r="M200" s="8" t="str">
        <f aca="false">IF(E200&lt;50000,"Low Income",IF(E200&lt;80000,"Middle Income",IF(E200&lt;100000,"Upper Middle","High Income")))</f>
        <v>Middle Income</v>
      </c>
      <c r="N200" s="8" t="str">
        <f aca="false">IF(F200&lt;=3,"Poor",IF(F200&lt;=6,"Average",IF(F200&lt;=8,"Good","Excellent")))</f>
        <v>Average</v>
      </c>
      <c r="O200" s="8" t="str">
        <f aca="false">IF(G200&lt;=3,"Poor",IF(G200&lt;=6,"Average",IF(G200&lt;=8,"Good","Excellent")))</f>
        <v>Poor</v>
      </c>
      <c r="P200" s="8" t="str">
        <f aca="false">IF(H200&lt;=5,"Low Frequency",IF(H200&lt;=10,"Moderate",IF(H200&lt;=15,"High","Very High")))</f>
        <v>Moderate</v>
      </c>
      <c r="Q200" s="8" t="str">
        <f aca="false">IF(K200&gt;=90,"Highly Satisfied",IF(K200&gt;=75,"Satisfied",IF(K200&gt;=60,"Neutral","Dissatisfied")))</f>
        <v>Satisfied</v>
      </c>
      <c r="R200" s="8" t="str">
        <f aca="false">UPPER(LEFT(TRIM(J200),1))&amp;LOWER(MID(TRIM(J200),2,100))</f>
        <v>Silver</v>
      </c>
      <c r="S200" s="8" t="str">
        <f aca="false">IF(I200="High","Positive",IF(I200="Medium","Neutral","Negative"))</f>
        <v>Neutral</v>
      </c>
      <c r="T200" s="8" t="str">
        <f aca="false">IF(AND(E200&gt;=80000,H200&gt;=15),"Premium",IF(AND(E200&gt;=50000,H200&gt;=10),"Standard","Basic"))</f>
        <v>Basic</v>
      </c>
      <c r="U200" s="8" t="str">
        <f aca="false">IF(AND(F200&gt;=7,G200&gt;=7),"High Quality Experience","Review Needed")</f>
        <v>Review Needed</v>
      </c>
      <c r="V200" s="8" t="str">
        <f aca="false">IF(H200&gt;=10,"Repeat Buyer","Occasional Buyer")</f>
        <v>Occasional Buyer</v>
      </c>
      <c r="W200" s="8" t="str">
        <f aca="false">IF(AND(K200&lt;70,I200="Low"),"At Risk","Stable")</f>
        <v>Stable</v>
      </c>
      <c r="X200" s="8" t="str">
        <f aca="false">IF(AND(K200&lt;75,I200="Low",J200="Bronze"),"Priority Followup","No Action")</f>
        <v>No Action</v>
      </c>
    </row>
    <row r="201" customFormat="false" ht="15" hidden="false" customHeight="false" outlineLevel="0" collapsed="false">
      <c r="A201" s="3" t="n">
        <v>199</v>
      </c>
      <c r="B201" s="3" t="n">
        <v>20</v>
      </c>
      <c r="C201" s="3" t="s">
        <v>17</v>
      </c>
      <c r="D201" s="3" t="s">
        <v>20</v>
      </c>
      <c r="E201" s="3" t="n">
        <v>108408</v>
      </c>
      <c r="F201" s="3" t="n">
        <v>4</v>
      </c>
      <c r="G201" s="3" t="n">
        <v>5</v>
      </c>
      <c r="H201" s="3" t="n">
        <v>7</v>
      </c>
      <c r="I201" s="3" t="s">
        <v>13</v>
      </c>
      <c r="J201" s="3" t="s">
        <v>14</v>
      </c>
      <c r="K201" s="3" t="n">
        <v>86.29</v>
      </c>
      <c r="L201" s="7" t="str">
        <f aca="false">IF(B201&lt;25,"Gen Z",IF(B201&lt;40,"Millennial",IF(B201&lt;55,"Gen X","Baby Boomer")))</f>
        <v>Gen Z</v>
      </c>
      <c r="M201" s="7" t="str">
        <f aca="false">IF(E201&lt;50000,"Low Income",IF(E201&lt;80000,"Middle Income",IF(E201&lt;100000,"Upper Middle","High Income")))</f>
        <v>High Income</v>
      </c>
      <c r="N201" s="7" t="str">
        <f aca="false">IF(F201&lt;=3,"Poor",IF(F201&lt;=6,"Average",IF(F201&lt;=8,"Good","Excellent")))</f>
        <v>Average</v>
      </c>
      <c r="O201" s="7" t="str">
        <f aca="false">IF(G201&lt;=3,"Poor",IF(G201&lt;=6,"Average",IF(G201&lt;=8,"Good","Excellent")))</f>
        <v>Average</v>
      </c>
      <c r="P201" s="7" t="str">
        <f aca="false">IF(H201&lt;=5,"Low Frequency",IF(H201&lt;=10,"Moderate",IF(H201&lt;=15,"High","Very High")))</f>
        <v>Moderate</v>
      </c>
      <c r="Q201" s="7" t="str">
        <f aca="false">IF(K201&gt;=90,"Highly Satisfied",IF(K201&gt;=75,"Satisfied",IF(K201&gt;=60,"Neutral","Dissatisfied")))</f>
        <v>Satisfied</v>
      </c>
      <c r="R201" s="7" t="str">
        <f aca="false">UPPER(LEFT(TRIM(J201),1))&amp;LOWER(MID(TRIM(J201),2,100))</f>
        <v>Bronze</v>
      </c>
      <c r="S201" s="7" t="str">
        <f aca="false">IF(I201="High","Positive",IF(I201="Medium","Neutral","Negative"))</f>
        <v>Negative</v>
      </c>
      <c r="T201" s="7" t="str">
        <f aca="false">IF(AND(E201&gt;=80000,H201&gt;=15),"Premium",IF(AND(E201&gt;=50000,H201&gt;=10),"Standard","Basic"))</f>
        <v>Basic</v>
      </c>
      <c r="U201" s="7" t="str">
        <f aca="false">IF(AND(F201&gt;=7,G201&gt;=7),"High Quality Experience","Review Needed")</f>
        <v>Review Needed</v>
      </c>
      <c r="V201" s="7" t="str">
        <f aca="false">IF(H201&gt;=10,"Repeat Buyer","Occasional Buyer")</f>
        <v>Occasional Buyer</v>
      </c>
      <c r="W201" s="7" t="str">
        <f aca="false">IF(AND(K201&lt;70,I201="Low"),"At Risk","Stable")</f>
        <v>Stable</v>
      </c>
      <c r="X201" s="7" t="str">
        <f aca="false">IF(AND(K201&lt;75,I201="Low",J201="Bronze"),"Priority Followup","No Action")</f>
        <v>No Action</v>
      </c>
    </row>
    <row r="202" customFormat="false" ht="15" hidden="false" customHeight="false" outlineLevel="0" collapsed="false">
      <c r="A202" s="2" t="n">
        <v>200</v>
      </c>
      <c r="B202" s="2" t="n">
        <v>56</v>
      </c>
      <c r="C202" s="2" t="s">
        <v>11</v>
      </c>
      <c r="D202" s="2" t="s">
        <v>22</v>
      </c>
      <c r="E202" s="2" t="n">
        <v>30250</v>
      </c>
      <c r="F202" s="2" t="n">
        <v>5</v>
      </c>
      <c r="G202" s="2" t="n">
        <v>6</v>
      </c>
      <c r="H202" s="2" t="n">
        <v>7</v>
      </c>
      <c r="I202" s="2" t="s">
        <v>13</v>
      </c>
      <c r="J202" s="2" t="s">
        <v>19</v>
      </c>
      <c r="K202" s="2" t="n">
        <v>90.23</v>
      </c>
      <c r="L202" s="8" t="str">
        <f aca="false">IF(B202&lt;25,"Gen Z",IF(B202&lt;40,"Millennial",IF(B202&lt;55,"Gen X","Baby Boomer")))</f>
        <v>Baby Boomer</v>
      </c>
      <c r="M202" s="8" t="str">
        <f aca="false">IF(E202&lt;50000,"Low Income",IF(E202&lt;80000,"Middle Income",IF(E202&lt;100000,"Upper Middle","High Income")))</f>
        <v>Low Income</v>
      </c>
      <c r="N202" s="8" t="str">
        <f aca="false">IF(F202&lt;=3,"Poor",IF(F202&lt;=6,"Average",IF(F202&lt;=8,"Good","Excellent")))</f>
        <v>Average</v>
      </c>
      <c r="O202" s="8" t="str">
        <f aca="false">IF(G202&lt;=3,"Poor",IF(G202&lt;=6,"Average",IF(G202&lt;=8,"Good","Excellent")))</f>
        <v>Average</v>
      </c>
      <c r="P202" s="8" t="str">
        <f aca="false">IF(H202&lt;=5,"Low Frequency",IF(H202&lt;=10,"Moderate",IF(H202&lt;=15,"High","Very High")))</f>
        <v>Moderate</v>
      </c>
      <c r="Q202" s="8" t="str">
        <f aca="false">IF(K202&gt;=90,"Highly Satisfied",IF(K202&gt;=75,"Satisfied",IF(K202&gt;=60,"Neutral","Dissatisfied")))</f>
        <v>Highly Satisfied</v>
      </c>
      <c r="R202" s="8" t="str">
        <f aca="false">UPPER(LEFT(TRIM(J202),1))&amp;LOWER(MID(TRIM(J202),2,100))</f>
        <v>Silver</v>
      </c>
      <c r="S202" s="8" t="str">
        <f aca="false">IF(I202="High","Positive",IF(I202="Medium","Neutral","Negative"))</f>
        <v>Negative</v>
      </c>
      <c r="T202" s="8" t="str">
        <f aca="false">IF(AND(E202&gt;=80000,H202&gt;=15),"Premium",IF(AND(E202&gt;=50000,H202&gt;=10),"Standard","Basic"))</f>
        <v>Basic</v>
      </c>
      <c r="U202" s="8" t="str">
        <f aca="false">IF(AND(F202&gt;=7,G202&gt;=7),"High Quality Experience","Review Needed")</f>
        <v>Review Needed</v>
      </c>
      <c r="V202" s="8" t="str">
        <f aca="false">IF(H202&gt;=10,"Repeat Buyer","Occasional Buyer")</f>
        <v>Occasional Buyer</v>
      </c>
      <c r="W202" s="8" t="str">
        <f aca="false">IF(AND(K202&lt;70,I202="Low"),"At Risk","Stable")</f>
        <v>Stable</v>
      </c>
      <c r="X202" s="8" t="str">
        <f aca="false">IF(AND(K202&lt;75,I202="Low",J202="Bronze"),"Priority Followup","No Action")</f>
        <v>No Action</v>
      </c>
    </row>
    <row r="203" customFormat="false" ht="15" hidden="false" customHeight="false" outlineLevel="0" collapsed="false">
      <c r="A203" s="3" t="n">
        <v>201</v>
      </c>
      <c r="B203" s="3" t="n">
        <v>23</v>
      </c>
      <c r="C203" s="3" t="s">
        <v>11</v>
      </c>
      <c r="D203" s="3" t="s">
        <v>20</v>
      </c>
      <c r="E203" s="3" t="n">
        <v>76475</v>
      </c>
      <c r="F203" s="3" t="n">
        <v>3</v>
      </c>
      <c r="G203" s="3" t="n">
        <v>7</v>
      </c>
      <c r="H203" s="3" t="n">
        <v>10</v>
      </c>
      <c r="I203" s="3" t="s">
        <v>13</v>
      </c>
      <c r="J203" s="3" t="s">
        <v>16</v>
      </c>
      <c r="K203" s="3" t="n">
        <v>83.65</v>
      </c>
      <c r="L203" s="7" t="str">
        <f aca="false">IF(B203&lt;25,"Gen Z",IF(B203&lt;40,"Millennial",IF(B203&lt;55,"Gen X","Baby Boomer")))</f>
        <v>Gen Z</v>
      </c>
      <c r="M203" s="7" t="str">
        <f aca="false">IF(E203&lt;50000,"Low Income",IF(E203&lt;80000,"Middle Income",IF(E203&lt;100000,"Upper Middle","High Income")))</f>
        <v>Middle Income</v>
      </c>
      <c r="N203" s="7" t="str">
        <f aca="false">IF(F203&lt;=3,"Poor",IF(F203&lt;=6,"Average",IF(F203&lt;=8,"Good","Excellent")))</f>
        <v>Poor</v>
      </c>
      <c r="O203" s="7" t="str">
        <f aca="false">IF(G203&lt;=3,"Poor",IF(G203&lt;=6,"Average",IF(G203&lt;=8,"Good","Excellent")))</f>
        <v>Good</v>
      </c>
      <c r="P203" s="7" t="str">
        <f aca="false">IF(H203&lt;=5,"Low Frequency",IF(H203&lt;=10,"Moderate",IF(H203&lt;=15,"High","Very High")))</f>
        <v>Moderate</v>
      </c>
      <c r="Q203" s="7" t="str">
        <f aca="false">IF(K203&gt;=90,"Highly Satisfied",IF(K203&gt;=75,"Satisfied",IF(K203&gt;=60,"Neutral","Dissatisfied")))</f>
        <v>Satisfied</v>
      </c>
      <c r="R203" s="7" t="str">
        <f aca="false">UPPER(LEFT(TRIM(J203),1))&amp;LOWER(MID(TRIM(J203),2,100))</f>
        <v>Gold</v>
      </c>
      <c r="S203" s="7" t="str">
        <f aca="false">IF(I203="High","Positive",IF(I203="Medium","Neutral","Negative"))</f>
        <v>Negative</v>
      </c>
      <c r="T203" s="7" t="str">
        <f aca="false">IF(AND(E203&gt;=80000,H203&gt;=15),"Premium",IF(AND(E203&gt;=50000,H203&gt;=10),"Standard","Basic"))</f>
        <v>Standard</v>
      </c>
      <c r="U203" s="7" t="str">
        <f aca="false">IF(AND(F203&gt;=7,G203&gt;=7),"High Quality Experience","Review Needed")</f>
        <v>Review Needed</v>
      </c>
      <c r="V203" s="7" t="str">
        <f aca="false">IF(H203&gt;=10,"Repeat Buyer","Occasional Buyer")</f>
        <v>Repeat Buyer</v>
      </c>
      <c r="W203" s="7" t="str">
        <f aca="false">IF(AND(K203&lt;70,I203="Low"),"At Risk","Stable")</f>
        <v>Stable</v>
      </c>
      <c r="X203" s="7" t="str">
        <f aca="false">IF(AND(K203&lt;75,I203="Low",J203="Bronze"),"Priority Followup","No Action")</f>
        <v>No Action</v>
      </c>
    </row>
    <row r="204" customFormat="false" ht="15" hidden="false" customHeight="false" outlineLevel="0" collapsed="false">
      <c r="A204" s="2" t="n">
        <v>202</v>
      </c>
      <c r="B204" s="2" t="n">
        <v>25</v>
      </c>
      <c r="C204" s="2" t="s">
        <v>17</v>
      </c>
      <c r="D204" s="2" t="s">
        <v>12</v>
      </c>
      <c r="E204" s="2" t="n">
        <v>43803</v>
      </c>
      <c r="F204" s="2" t="n">
        <v>4</v>
      </c>
      <c r="G204" s="2" t="n">
        <v>4</v>
      </c>
      <c r="H204" s="2" t="n">
        <v>5</v>
      </c>
      <c r="I204" s="2" t="s">
        <v>13</v>
      </c>
      <c r="J204" s="2" t="s">
        <v>19</v>
      </c>
      <c r="K204" s="2" t="n">
        <v>62.44</v>
      </c>
      <c r="L204" s="8" t="str">
        <f aca="false">IF(B204&lt;25,"Gen Z",IF(B204&lt;40,"Millennial",IF(B204&lt;55,"Gen X","Baby Boomer")))</f>
        <v>Millennial</v>
      </c>
      <c r="M204" s="8" t="str">
        <f aca="false">IF(E204&lt;50000,"Low Income",IF(E204&lt;80000,"Middle Income",IF(E204&lt;100000,"Upper Middle","High Income")))</f>
        <v>Low Income</v>
      </c>
      <c r="N204" s="8" t="str">
        <f aca="false">IF(F204&lt;=3,"Poor",IF(F204&lt;=6,"Average",IF(F204&lt;=8,"Good","Excellent")))</f>
        <v>Average</v>
      </c>
      <c r="O204" s="8" t="str">
        <f aca="false">IF(G204&lt;=3,"Poor",IF(G204&lt;=6,"Average",IF(G204&lt;=8,"Good","Excellent")))</f>
        <v>Average</v>
      </c>
      <c r="P204" s="8" t="str">
        <f aca="false">IF(H204&lt;=5,"Low Frequency",IF(H204&lt;=10,"Moderate",IF(H204&lt;=15,"High","Very High")))</f>
        <v>Low Frequency</v>
      </c>
      <c r="Q204" s="8" t="str">
        <f aca="false">IF(K204&gt;=90,"Highly Satisfied",IF(K204&gt;=75,"Satisfied",IF(K204&gt;=60,"Neutral","Dissatisfied")))</f>
        <v>Neutral</v>
      </c>
      <c r="R204" s="8" t="str">
        <f aca="false">UPPER(LEFT(TRIM(J204),1))&amp;LOWER(MID(TRIM(J204),2,100))</f>
        <v>Silver</v>
      </c>
      <c r="S204" s="8" t="str">
        <f aca="false">IF(I204="High","Positive",IF(I204="Medium","Neutral","Negative"))</f>
        <v>Negative</v>
      </c>
      <c r="T204" s="8" t="str">
        <f aca="false">IF(AND(E204&gt;=80000,H204&gt;=15),"Premium",IF(AND(E204&gt;=50000,H204&gt;=10),"Standard","Basic"))</f>
        <v>Basic</v>
      </c>
      <c r="U204" s="8" t="str">
        <f aca="false">IF(AND(F204&gt;=7,G204&gt;=7),"High Quality Experience","Review Needed")</f>
        <v>Review Needed</v>
      </c>
      <c r="V204" s="8" t="str">
        <f aca="false">IF(H204&gt;=10,"Repeat Buyer","Occasional Buyer")</f>
        <v>Occasional Buyer</v>
      </c>
      <c r="W204" s="8" t="str">
        <f aca="false">IF(AND(K204&lt;70,I204="Low"),"At Risk","Stable")</f>
        <v>At Risk</v>
      </c>
      <c r="X204" s="8" t="str">
        <f aca="false">IF(AND(K204&lt;75,I204="Low",J204="Bronze"),"Priority Followup","No Action")</f>
        <v>No Action</v>
      </c>
    </row>
    <row r="205" customFormat="false" ht="15" hidden="false" customHeight="false" outlineLevel="0" collapsed="false">
      <c r="A205" s="3" t="n">
        <v>203</v>
      </c>
      <c r="B205" s="3" t="n">
        <v>44</v>
      </c>
      <c r="C205" s="3" t="s">
        <v>17</v>
      </c>
      <c r="D205" s="3" t="s">
        <v>20</v>
      </c>
      <c r="E205" s="3" t="n">
        <v>43923</v>
      </c>
      <c r="F205" s="3" t="n">
        <v>3</v>
      </c>
      <c r="G205" s="3" t="n">
        <v>3</v>
      </c>
      <c r="H205" s="3" t="n">
        <v>20</v>
      </c>
      <c r="I205" s="3" t="s">
        <v>21</v>
      </c>
      <c r="J205" s="3" t="s">
        <v>16</v>
      </c>
      <c r="K205" s="3" t="n">
        <v>55.99</v>
      </c>
      <c r="L205" s="7" t="str">
        <f aca="false">IF(B205&lt;25,"Gen Z",IF(B205&lt;40,"Millennial",IF(B205&lt;55,"Gen X","Baby Boomer")))</f>
        <v>Gen X</v>
      </c>
      <c r="M205" s="7" t="str">
        <f aca="false">IF(E205&lt;50000,"Low Income",IF(E205&lt;80000,"Middle Income",IF(E205&lt;100000,"Upper Middle","High Income")))</f>
        <v>Low Income</v>
      </c>
      <c r="N205" s="7" t="str">
        <f aca="false">IF(F205&lt;=3,"Poor",IF(F205&lt;=6,"Average",IF(F205&lt;=8,"Good","Excellent")))</f>
        <v>Poor</v>
      </c>
      <c r="O205" s="7" t="str">
        <f aca="false">IF(G205&lt;=3,"Poor",IF(G205&lt;=6,"Average",IF(G205&lt;=8,"Good","Excellent")))</f>
        <v>Poor</v>
      </c>
      <c r="P205" s="7" t="str">
        <f aca="false">IF(H205&lt;=5,"Low Frequency",IF(H205&lt;=10,"Moderate",IF(H205&lt;=15,"High","Very High")))</f>
        <v>Very High</v>
      </c>
      <c r="Q205" s="7" t="str">
        <f aca="false">IF(K205&gt;=90,"Highly Satisfied",IF(K205&gt;=75,"Satisfied",IF(K205&gt;=60,"Neutral","Dissatisfied")))</f>
        <v>Dissatisfied</v>
      </c>
      <c r="R205" s="7" t="str">
        <f aca="false">UPPER(LEFT(TRIM(J205),1))&amp;LOWER(MID(TRIM(J205),2,100))</f>
        <v>Gold</v>
      </c>
      <c r="S205" s="7" t="str">
        <f aca="false">IF(I205="High","Positive",IF(I205="Medium","Neutral","Negative"))</f>
        <v>Positive</v>
      </c>
      <c r="T205" s="7" t="str">
        <f aca="false">IF(AND(E205&gt;=80000,H205&gt;=15),"Premium",IF(AND(E205&gt;=50000,H205&gt;=10),"Standard","Basic"))</f>
        <v>Basic</v>
      </c>
      <c r="U205" s="7" t="str">
        <f aca="false">IF(AND(F205&gt;=7,G205&gt;=7),"High Quality Experience","Review Needed")</f>
        <v>Review Needed</v>
      </c>
      <c r="V205" s="7" t="str">
        <f aca="false">IF(H205&gt;=10,"Repeat Buyer","Occasional Buyer")</f>
        <v>Repeat Buyer</v>
      </c>
      <c r="W205" s="7" t="str">
        <f aca="false">IF(AND(K205&lt;70,I205="Low"),"At Risk","Stable")</f>
        <v>Stable</v>
      </c>
      <c r="X205" s="7" t="str">
        <f aca="false">IF(AND(K205&lt;75,I205="Low",J205="Bronze"),"Priority Followup","No Action")</f>
        <v>No Action</v>
      </c>
    </row>
    <row r="206" customFormat="false" ht="15" hidden="false" customHeight="false" outlineLevel="0" collapsed="false">
      <c r="A206" s="2" t="n">
        <v>204</v>
      </c>
      <c r="B206" s="2" t="n">
        <v>26</v>
      </c>
      <c r="C206" s="2" t="s">
        <v>17</v>
      </c>
      <c r="D206" s="2" t="s">
        <v>18</v>
      </c>
      <c r="E206" s="2" t="n">
        <v>74616</v>
      </c>
      <c r="F206" s="2" t="n">
        <v>4</v>
      </c>
      <c r="G206" s="2" t="n">
        <v>8</v>
      </c>
      <c r="H206" s="2" t="n">
        <v>14</v>
      </c>
      <c r="I206" s="2" t="s">
        <v>15</v>
      </c>
      <c r="J206" s="2" t="s">
        <v>14</v>
      </c>
      <c r="K206" s="2" t="n">
        <v>93.29</v>
      </c>
      <c r="L206" s="8" t="str">
        <f aca="false">IF(B206&lt;25,"Gen Z",IF(B206&lt;40,"Millennial",IF(B206&lt;55,"Gen X","Baby Boomer")))</f>
        <v>Millennial</v>
      </c>
      <c r="M206" s="8" t="str">
        <f aca="false">IF(E206&lt;50000,"Low Income",IF(E206&lt;80000,"Middle Income",IF(E206&lt;100000,"Upper Middle","High Income")))</f>
        <v>Middle Income</v>
      </c>
      <c r="N206" s="8" t="str">
        <f aca="false">IF(F206&lt;=3,"Poor",IF(F206&lt;=6,"Average",IF(F206&lt;=8,"Good","Excellent")))</f>
        <v>Average</v>
      </c>
      <c r="O206" s="8" t="str">
        <f aca="false">IF(G206&lt;=3,"Poor",IF(G206&lt;=6,"Average",IF(G206&lt;=8,"Good","Excellent")))</f>
        <v>Good</v>
      </c>
      <c r="P206" s="8" t="str">
        <f aca="false">IF(H206&lt;=5,"Low Frequency",IF(H206&lt;=10,"Moderate",IF(H206&lt;=15,"High","Very High")))</f>
        <v>High</v>
      </c>
      <c r="Q206" s="8" t="str">
        <f aca="false">IF(K206&gt;=90,"Highly Satisfied",IF(K206&gt;=75,"Satisfied",IF(K206&gt;=60,"Neutral","Dissatisfied")))</f>
        <v>Highly Satisfied</v>
      </c>
      <c r="R206" s="8" t="str">
        <f aca="false">UPPER(LEFT(TRIM(J206),1))&amp;LOWER(MID(TRIM(J206),2,100))</f>
        <v>Bronze</v>
      </c>
      <c r="S206" s="8" t="str">
        <f aca="false">IF(I206="High","Positive",IF(I206="Medium","Neutral","Negative"))</f>
        <v>Neutral</v>
      </c>
      <c r="T206" s="8" t="str">
        <f aca="false">IF(AND(E206&gt;=80000,H206&gt;=15),"Premium",IF(AND(E206&gt;=50000,H206&gt;=10),"Standard","Basic"))</f>
        <v>Standard</v>
      </c>
      <c r="U206" s="8" t="str">
        <f aca="false">IF(AND(F206&gt;=7,G206&gt;=7),"High Quality Experience","Review Needed")</f>
        <v>Review Needed</v>
      </c>
      <c r="V206" s="8" t="str">
        <f aca="false">IF(H206&gt;=10,"Repeat Buyer","Occasional Buyer")</f>
        <v>Repeat Buyer</v>
      </c>
      <c r="W206" s="8" t="str">
        <f aca="false">IF(AND(K206&lt;70,I206="Low"),"At Risk","Stable")</f>
        <v>Stable</v>
      </c>
      <c r="X206" s="8" t="str">
        <f aca="false">IF(AND(K206&lt;75,I206="Low",J206="Bronze"),"Priority Followup","No Action")</f>
        <v>No Action</v>
      </c>
    </row>
    <row r="207" customFormat="false" ht="15" hidden="false" customHeight="false" outlineLevel="0" collapsed="false">
      <c r="A207" s="3" t="n">
        <v>205</v>
      </c>
      <c r="B207" s="3" t="n">
        <v>54</v>
      </c>
      <c r="C207" s="3" t="s">
        <v>11</v>
      </c>
      <c r="D207" s="3" t="s">
        <v>12</v>
      </c>
      <c r="E207" s="3" t="n">
        <v>69049</v>
      </c>
      <c r="F207" s="3" t="n">
        <v>6</v>
      </c>
      <c r="G207" s="3" t="n">
        <v>5</v>
      </c>
      <c r="H207" s="3" t="n">
        <v>7</v>
      </c>
      <c r="I207" s="3" t="s">
        <v>15</v>
      </c>
      <c r="J207" s="3" t="s">
        <v>14</v>
      </c>
      <c r="K207" s="3" t="n">
        <v>90.6</v>
      </c>
      <c r="L207" s="7" t="str">
        <f aca="false">IF(B207&lt;25,"Gen Z",IF(B207&lt;40,"Millennial",IF(B207&lt;55,"Gen X","Baby Boomer")))</f>
        <v>Gen X</v>
      </c>
      <c r="M207" s="7" t="str">
        <f aca="false">IF(E207&lt;50000,"Low Income",IF(E207&lt;80000,"Middle Income",IF(E207&lt;100000,"Upper Middle","High Income")))</f>
        <v>Middle Income</v>
      </c>
      <c r="N207" s="7" t="str">
        <f aca="false">IF(F207&lt;=3,"Poor",IF(F207&lt;=6,"Average",IF(F207&lt;=8,"Good","Excellent")))</f>
        <v>Average</v>
      </c>
      <c r="O207" s="7" t="str">
        <f aca="false">IF(G207&lt;=3,"Poor",IF(G207&lt;=6,"Average",IF(G207&lt;=8,"Good","Excellent")))</f>
        <v>Average</v>
      </c>
      <c r="P207" s="7" t="str">
        <f aca="false">IF(H207&lt;=5,"Low Frequency",IF(H207&lt;=10,"Moderate",IF(H207&lt;=15,"High","Very High")))</f>
        <v>Moderate</v>
      </c>
      <c r="Q207" s="7" t="str">
        <f aca="false">IF(K207&gt;=90,"Highly Satisfied",IF(K207&gt;=75,"Satisfied",IF(K207&gt;=60,"Neutral","Dissatisfied")))</f>
        <v>Highly Satisfied</v>
      </c>
      <c r="R207" s="7" t="str">
        <f aca="false">UPPER(LEFT(TRIM(J207),1))&amp;LOWER(MID(TRIM(J207),2,100))</f>
        <v>Bronze</v>
      </c>
      <c r="S207" s="7" t="str">
        <f aca="false">IF(I207="High","Positive",IF(I207="Medium","Neutral","Negative"))</f>
        <v>Neutral</v>
      </c>
      <c r="T207" s="7" t="str">
        <f aca="false">IF(AND(E207&gt;=80000,H207&gt;=15),"Premium",IF(AND(E207&gt;=50000,H207&gt;=10),"Standard","Basic"))</f>
        <v>Basic</v>
      </c>
      <c r="U207" s="7" t="str">
        <f aca="false">IF(AND(F207&gt;=7,G207&gt;=7),"High Quality Experience","Review Needed")</f>
        <v>Review Needed</v>
      </c>
      <c r="V207" s="7" t="str">
        <f aca="false">IF(H207&gt;=10,"Repeat Buyer","Occasional Buyer")</f>
        <v>Occasional Buyer</v>
      </c>
      <c r="W207" s="7" t="str">
        <f aca="false">IF(AND(K207&lt;70,I207="Low"),"At Risk","Stable")</f>
        <v>Stable</v>
      </c>
      <c r="X207" s="7" t="str">
        <f aca="false">IF(AND(K207&lt;75,I207="Low",J207="Bronze"),"Priority Followup","No Action")</f>
        <v>No Action</v>
      </c>
    </row>
    <row r="208" customFormat="false" ht="15" hidden="false" customHeight="false" outlineLevel="0" collapsed="false">
      <c r="A208" s="2" t="n">
        <v>206</v>
      </c>
      <c r="B208" s="2" t="n">
        <v>50</v>
      </c>
      <c r="C208" s="2" t="s">
        <v>17</v>
      </c>
      <c r="D208" s="2" t="s">
        <v>23</v>
      </c>
      <c r="E208" s="2" t="n">
        <v>75680</v>
      </c>
      <c r="F208" s="2" t="n">
        <v>2</v>
      </c>
      <c r="G208" s="2" t="n">
        <v>7</v>
      </c>
      <c r="H208" s="2" t="n">
        <v>19</v>
      </c>
      <c r="I208" s="2" t="s">
        <v>13</v>
      </c>
      <c r="J208" s="2" t="s">
        <v>19</v>
      </c>
      <c r="K208" s="2" t="n">
        <v>82.42</v>
      </c>
      <c r="L208" s="8" t="str">
        <f aca="false">IF(B208&lt;25,"Gen Z",IF(B208&lt;40,"Millennial",IF(B208&lt;55,"Gen X","Baby Boomer")))</f>
        <v>Gen X</v>
      </c>
      <c r="M208" s="8" t="str">
        <f aca="false">IF(E208&lt;50000,"Low Income",IF(E208&lt;80000,"Middle Income",IF(E208&lt;100000,"Upper Middle","High Income")))</f>
        <v>Middle Income</v>
      </c>
      <c r="N208" s="8" t="str">
        <f aca="false">IF(F208&lt;=3,"Poor",IF(F208&lt;=6,"Average",IF(F208&lt;=8,"Good","Excellent")))</f>
        <v>Poor</v>
      </c>
      <c r="O208" s="8" t="str">
        <f aca="false">IF(G208&lt;=3,"Poor",IF(G208&lt;=6,"Average",IF(G208&lt;=8,"Good","Excellent")))</f>
        <v>Good</v>
      </c>
      <c r="P208" s="8" t="str">
        <f aca="false">IF(H208&lt;=5,"Low Frequency",IF(H208&lt;=10,"Moderate",IF(H208&lt;=15,"High","Very High")))</f>
        <v>Very High</v>
      </c>
      <c r="Q208" s="8" t="str">
        <f aca="false">IF(K208&gt;=90,"Highly Satisfied",IF(K208&gt;=75,"Satisfied",IF(K208&gt;=60,"Neutral","Dissatisfied")))</f>
        <v>Satisfied</v>
      </c>
      <c r="R208" s="8" t="str">
        <f aca="false">UPPER(LEFT(TRIM(J208),1))&amp;LOWER(MID(TRIM(J208),2,100))</f>
        <v>Silver</v>
      </c>
      <c r="S208" s="8" t="str">
        <f aca="false">IF(I208="High","Positive",IF(I208="Medium","Neutral","Negative"))</f>
        <v>Negative</v>
      </c>
      <c r="T208" s="8" t="str">
        <f aca="false">IF(AND(E208&gt;=80000,H208&gt;=15),"Premium",IF(AND(E208&gt;=50000,H208&gt;=10),"Standard","Basic"))</f>
        <v>Standard</v>
      </c>
      <c r="U208" s="8" t="str">
        <f aca="false">IF(AND(F208&gt;=7,G208&gt;=7),"High Quality Experience","Review Needed")</f>
        <v>Review Needed</v>
      </c>
      <c r="V208" s="8" t="str">
        <f aca="false">IF(H208&gt;=10,"Repeat Buyer","Occasional Buyer")</f>
        <v>Repeat Buyer</v>
      </c>
      <c r="W208" s="8" t="str">
        <f aca="false">IF(AND(K208&lt;70,I208="Low"),"At Risk","Stable")</f>
        <v>Stable</v>
      </c>
      <c r="X208" s="8" t="str">
        <f aca="false">IF(AND(K208&lt;75,I208="Low",J208="Bronze"),"Priority Followup","No Action")</f>
        <v>No Action</v>
      </c>
    </row>
    <row r="209" customFormat="false" ht="15" hidden="false" customHeight="false" outlineLevel="0" collapsed="false">
      <c r="A209" s="3" t="n">
        <v>207</v>
      </c>
      <c r="B209" s="3" t="n">
        <v>68</v>
      </c>
      <c r="C209" s="3" t="s">
        <v>11</v>
      </c>
      <c r="D209" s="3" t="s">
        <v>23</v>
      </c>
      <c r="E209" s="3" t="n">
        <v>77689</v>
      </c>
      <c r="F209" s="3" t="n">
        <v>10</v>
      </c>
      <c r="G209" s="3" t="n">
        <v>8</v>
      </c>
      <c r="H209" s="3" t="n">
        <v>11</v>
      </c>
      <c r="I209" s="3" t="s">
        <v>13</v>
      </c>
      <c r="J209" s="3" t="s">
        <v>19</v>
      </c>
      <c r="K209" s="3" t="n">
        <v>100</v>
      </c>
      <c r="L209" s="7" t="str">
        <f aca="false">IF(B209&lt;25,"Gen Z",IF(B209&lt;40,"Millennial",IF(B209&lt;55,"Gen X","Baby Boomer")))</f>
        <v>Baby Boomer</v>
      </c>
      <c r="M209" s="7" t="str">
        <f aca="false">IF(E209&lt;50000,"Low Income",IF(E209&lt;80000,"Middle Income",IF(E209&lt;100000,"Upper Middle","High Income")))</f>
        <v>Middle Income</v>
      </c>
      <c r="N209" s="7" t="str">
        <f aca="false">IF(F209&lt;=3,"Poor",IF(F209&lt;=6,"Average",IF(F209&lt;=8,"Good","Excellent")))</f>
        <v>Excellent</v>
      </c>
      <c r="O209" s="7" t="str">
        <f aca="false">IF(G209&lt;=3,"Poor",IF(G209&lt;=6,"Average",IF(G209&lt;=8,"Good","Excellent")))</f>
        <v>Good</v>
      </c>
      <c r="P209" s="7" t="str">
        <f aca="false">IF(H209&lt;=5,"Low Frequency",IF(H209&lt;=10,"Moderate",IF(H209&lt;=15,"High","Very High")))</f>
        <v>High</v>
      </c>
      <c r="Q209" s="7" t="str">
        <f aca="false">IF(K209&gt;=90,"Highly Satisfied",IF(K209&gt;=75,"Satisfied",IF(K209&gt;=60,"Neutral","Dissatisfied")))</f>
        <v>Highly Satisfied</v>
      </c>
      <c r="R209" s="7" t="str">
        <f aca="false">UPPER(LEFT(TRIM(J209),1))&amp;LOWER(MID(TRIM(J209),2,100))</f>
        <v>Silver</v>
      </c>
      <c r="S209" s="7" t="str">
        <f aca="false">IF(I209="High","Positive",IF(I209="Medium","Neutral","Negative"))</f>
        <v>Negative</v>
      </c>
      <c r="T209" s="7" t="str">
        <f aca="false">IF(AND(E209&gt;=80000,H209&gt;=15),"Premium",IF(AND(E209&gt;=50000,H209&gt;=10),"Standard","Basic"))</f>
        <v>Standard</v>
      </c>
      <c r="U209" s="7" t="str">
        <f aca="false">IF(AND(F209&gt;=7,G209&gt;=7),"High Quality Experience","Review Needed")</f>
        <v>High Quality Experience</v>
      </c>
      <c r="V209" s="7" t="str">
        <f aca="false">IF(H209&gt;=10,"Repeat Buyer","Occasional Buyer")</f>
        <v>Repeat Buyer</v>
      </c>
      <c r="W209" s="7" t="str">
        <f aca="false">IF(AND(K209&lt;70,I209="Low"),"At Risk","Stable")</f>
        <v>Stable</v>
      </c>
      <c r="X209" s="7" t="str">
        <f aca="false">IF(AND(K209&lt;75,I209="Low",J209="Bronze"),"Priority Followup","No Action")</f>
        <v>No Action</v>
      </c>
    </row>
    <row r="210" customFormat="false" ht="15" hidden="false" customHeight="false" outlineLevel="0" collapsed="false">
      <c r="A210" s="2" t="n">
        <v>208</v>
      </c>
      <c r="B210" s="2" t="n">
        <v>59</v>
      </c>
      <c r="C210" s="2" t="s">
        <v>11</v>
      </c>
      <c r="D210" s="2" t="s">
        <v>23</v>
      </c>
      <c r="E210" s="2" t="n">
        <v>36719</v>
      </c>
      <c r="F210" s="2" t="n">
        <v>1</v>
      </c>
      <c r="G210" s="2" t="n">
        <v>9</v>
      </c>
      <c r="H210" s="2" t="n">
        <v>14</v>
      </c>
      <c r="I210" s="2" t="s">
        <v>15</v>
      </c>
      <c r="J210" s="2" t="s">
        <v>14</v>
      </c>
      <c r="K210" s="2" t="n">
        <v>93.53</v>
      </c>
      <c r="L210" s="8" t="str">
        <f aca="false">IF(B210&lt;25,"Gen Z",IF(B210&lt;40,"Millennial",IF(B210&lt;55,"Gen X","Baby Boomer")))</f>
        <v>Baby Boomer</v>
      </c>
      <c r="M210" s="8" t="str">
        <f aca="false">IF(E210&lt;50000,"Low Income",IF(E210&lt;80000,"Middle Income",IF(E210&lt;100000,"Upper Middle","High Income")))</f>
        <v>Low Income</v>
      </c>
      <c r="N210" s="8" t="str">
        <f aca="false">IF(F210&lt;=3,"Poor",IF(F210&lt;=6,"Average",IF(F210&lt;=8,"Good","Excellent")))</f>
        <v>Poor</v>
      </c>
      <c r="O210" s="8" t="str">
        <f aca="false">IF(G210&lt;=3,"Poor",IF(G210&lt;=6,"Average",IF(G210&lt;=8,"Good","Excellent")))</f>
        <v>Excellent</v>
      </c>
      <c r="P210" s="8" t="str">
        <f aca="false">IF(H210&lt;=5,"Low Frequency",IF(H210&lt;=10,"Moderate",IF(H210&lt;=15,"High","Very High")))</f>
        <v>High</v>
      </c>
      <c r="Q210" s="8" t="str">
        <f aca="false">IF(K210&gt;=90,"Highly Satisfied",IF(K210&gt;=75,"Satisfied",IF(K210&gt;=60,"Neutral","Dissatisfied")))</f>
        <v>Highly Satisfied</v>
      </c>
      <c r="R210" s="8" t="str">
        <f aca="false">UPPER(LEFT(TRIM(J210),1))&amp;LOWER(MID(TRIM(J210),2,100))</f>
        <v>Bronze</v>
      </c>
      <c r="S210" s="8" t="str">
        <f aca="false">IF(I210="High","Positive",IF(I210="Medium","Neutral","Negative"))</f>
        <v>Neutral</v>
      </c>
      <c r="T210" s="8" t="str">
        <f aca="false">IF(AND(E210&gt;=80000,H210&gt;=15),"Premium",IF(AND(E210&gt;=50000,H210&gt;=10),"Standard","Basic"))</f>
        <v>Basic</v>
      </c>
      <c r="U210" s="8" t="str">
        <f aca="false">IF(AND(F210&gt;=7,G210&gt;=7),"High Quality Experience","Review Needed")</f>
        <v>Review Needed</v>
      </c>
      <c r="V210" s="8" t="str">
        <f aca="false">IF(H210&gt;=10,"Repeat Buyer","Occasional Buyer")</f>
        <v>Repeat Buyer</v>
      </c>
      <c r="W210" s="8" t="str">
        <f aca="false">IF(AND(K210&lt;70,I210="Low"),"At Risk","Stable")</f>
        <v>Stable</v>
      </c>
      <c r="X210" s="8" t="str">
        <f aca="false">IF(AND(K210&lt;75,I210="Low",J210="Bronze"),"Priority Followup","No Action")</f>
        <v>No Action</v>
      </c>
    </row>
    <row r="211" customFormat="false" ht="15" hidden="false" customHeight="false" outlineLevel="0" collapsed="false">
      <c r="A211" s="3" t="n">
        <v>209</v>
      </c>
      <c r="B211" s="3" t="n">
        <v>61</v>
      </c>
      <c r="C211" s="3" t="s">
        <v>11</v>
      </c>
      <c r="D211" s="3" t="s">
        <v>18</v>
      </c>
      <c r="E211" s="3" t="n">
        <v>60000</v>
      </c>
      <c r="F211" s="3" t="n">
        <v>8</v>
      </c>
      <c r="G211" s="3" t="n">
        <v>6</v>
      </c>
      <c r="H211" s="3" t="n">
        <v>3</v>
      </c>
      <c r="I211" s="3" t="s">
        <v>21</v>
      </c>
      <c r="J211" s="3" t="s">
        <v>14</v>
      </c>
      <c r="K211" s="3" t="n">
        <v>91.87</v>
      </c>
      <c r="L211" s="7" t="str">
        <f aca="false">IF(B211&lt;25,"Gen Z",IF(B211&lt;40,"Millennial",IF(B211&lt;55,"Gen X","Baby Boomer")))</f>
        <v>Baby Boomer</v>
      </c>
      <c r="M211" s="7" t="str">
        <f aca="false">IF(E211&lt;50000,"Low Income",IF(E211&lt;80000,"Middle Income",IF(E211&lt;100000,"Upper Middle","High Income")))</f>
        <v>Middle Income</v>
      </c>
      <c r="N211" s="7" t="str">
        <f aca="false">IF(F211&lt;=3,"Poor",IF(F211&lt;=6,"Average",IF(F211&lt;=8,"Good","Excellent")))</f>
        <v>Good</v>
      </c>
      <c r="O211" s="7" t="str">
        <f aca="false">IF(G211&lt;=3,"Poor",IF(G211&lt;=6,"Average",IF(G211&lt;=8,"Good","Excellent")))</f>
        <v>Average</v>
      </c>
      <c r="P211" s="7" t="str">
        <f aca="false">IF(H211&lt;=5,"Low Frequency",IF(H211&lt;=10,"Moderate",IF(H211&lt;=15,"High","Very High")))</f>
        <v>Low Frequency</v>
      </c>
      <c r="Q211" s="7" t="str">
        <f aca="false">IF(K211&gt;=90,"Highly Satisfied",IF(K211&gt;=75,"Satisfied",IF(K211&gt;=60,"Neutral","Dissatisfied")))</f>
        <v>Highly Satisfied</v>
      </c>
      <c r="R211" s="7" t="str">
        <f aca="false">UPPER(LEFT(TRIM(J211),1))&amp;LOWER(MID(TRIM(J211),2,100))</f>
        <v>Bronze</v>
      </c>
      <c r="S211" s="7" t="str">
        <f aca="false">IF(I211="High","Positive",IF(I211="Medium","Neutral","Negative"))</f>
        <v>Positive</v>
      </c>
      <c r="T211" s="7" t="str">
        <f aca="false">IF(AND(E211&gt;=80000,H211&gt;=15),"Premium",IF(AND(E211&gt;=50000,H211&gt;=10),"Standard","Basic"))</f>
        <v>Basic</v>
      </c>
      <c r="U211" s="7" t="str">
        <f aca="false">IF(AND(F211&gt;=7,G211&gt;=7),"High Quality Experience","Review Needed")</f>
        <v>Review Needed</v>
      </c>
      <c r="V211" s="7" t="str">
        <f aca="false">IF(H211&gt;=10,"Repeat Buyer","Occasional Buyer")</f>
        <v>Occasional Buyer</v>
      </c>
      <c r="W211" s="7" t="str">
        <f aca="false">IF(AND(K211&lt;70,I211="Low"),"At Risk","Stable")</f>
        <v>Stable</v>
      </c>
      <c r="X211" s="7" t="str">
        <f aca="false">IF(AND(K211&lt;75,I211="Low",J211="Bronze"),"Priority Followup","No Action")</f>
        <v>No Action</v>
      </c>
    </row>
    <row r="212" customFormat="false" ht="15" hidden="false" customHeight="false" outlineLevel="0" collapsed="false">
      <c r="A212" s="2" t="n">
        <v>210</v>
      </c>
      <c r="B212" s="2" t="n">
        <v>41</v>
      </c>
      <c r="C212" s="2" t="s">
        <v>17</v>
      </c>
      <c r="D212" s="2" t="s">
        <v>23</v>
      </c>
      <c r="E212" s="2" t="n">
        <v>64287</v>
      </c>
      <c r="F212" s="2" t="n">
        <v>3</v>
      </c>
      <c r="G212" s="2" t="n">
        <v>10</v>
      </c>
      <c r="H212" s="2" t="n">
        <v>6</v>
      </c>
      <c r="I212" s="2" t="s">
        <v>21</v>
      </c>
      <c r="J212" s="2" t="s">
        <v>14</v>
      </c>
      <c r="K212" s="2" t="n">
        <v>100</v>
      </c>
      <c r="L212" s="8" t="str">
        <f aca="false">IF(B212&lt;25,"Gen Z",IF(B212&lt;40,"Millennial",IF(B212&lt;55,"Gen X","Baby Boomer")))</f>
        <v>Gen X</v>
      </c>
      <c r="M212" s="8" t="str">
        <f aca="false">IF(E212&lt;50000,"Low Income",IF(E212&lt;80000,"Middle Income",IF(E212&lt;100000,"Upper Middle","High Income")))</f>
        <v>Middle Income</v>
      </c>
      <c r="N212" s="8" t="str">
        <f aca="false">IF(F212&lt;=3,"Poor",IF(F212&lt;=6,"Average",IF(F212&lt;=8,"Good","Excellent")))</f>
        <v>Poor</v>
      </c>
      <c r="O212" s="8" t="str">
        <f aca="false">IF(G212&lt;=3,"Poor",IF(G212&lt;=6,"Average",IF(G212&lt;=8,"Good","Excellent")))</f>
        <v>Excellent</v>
      </c>
      <c r="P212" s="8" t="str">
        <f aca="false">IF(H212&lt;=5,"Low Frequency",IF(H212&lt;=10,"Moderate",IF(H212&lt;=15,"High","Very High")))</f>
        <v>Moderate</v>
      </c>
      <c r="Q212" s="8" t="str">
        <f aca="false">IF(K212&gt;=90,"Highly Satisfied",IF(K212&gt;=75,"Satisfied",IF(K212&gt;=60,"Neutral","Dissatisfied")))</f>
        <v>Highly Satisfied</v>
      </c>
      <c r="R212" s="8" t="str">
        <f aca="false">UPPER(LEFT(TRIM(J212),1))&amp;LOWER(MID(TRIM(J212),2,100))</f>
        <v>Bronze</v>
      </c>
      <c r="S212" s="8" t="str">
        <f aca="false">IF(I212="High","Positive",IF(I212="Medium","Neutral","Negative"))</f>
        <v>Positive</v>
      </c>
      <c r="T212" s="8" t="str">
        <f aca="false">IF(AND(E212&gt;=80000,H212&gt;=15),"Premium",IF(AND(E212&gt;=50000,H212&gt;=10),"Standard","Basic"))</f>
        <v>Basic</v>
      </c>
      <c r="U212" s="8" t="str">
        <f aca="false">IF(AND(F212&gt;=7,G212&gt;=7),"High Quality Experience","Review Needed")</f>
        <v>Review Needed</v>
      </c>
      <c r="V212" s="8" t="str">
        <f aca="false">IF(H212&gt;=10,"Repeat Buyer","Occasional Buyer")</f>
        <v>Occasional Buyer</v>
      </c>
      <c r="W212" s="8" t="str">
        <f aca="false">IF(AND(K212&lt;70,I212="Low"),"At Risk","Stable")</f>
        <v>Stable</v>
      </c>
      <c r="X212" s="8" t="str">
        <f aca="false">IF(AND(K212&lt;75,I212="Low",J212="Bronze"),"Priority Followup","No Action")</f>
        <v>No Action</v>
      </c>
    </row>
    <row r="213" customFormat="false" ht="15" hidden="false" customHeight="false" outlineLevel="0" collapsed="false">
      <c r="A213" s="3" t="n">
        <v>211</v>
      </c>
      <c r="B213" s="3" t="n">
        <v>32</v>
      </c>
      <c r="C213" s="3" t="s">
        <v>17</v>
      </c>
      <c r="D213" s="3" t="s">
        <v>20</v>
      </c>
      <c r="E213" s="3" t="n">
        <v>75667</v>
      </c>
      <c r="F213" s="3" t="n">
        <v>4</v>
      </c>
      <c r="G213" s="3" t="n">
        <v>10</v>
      </c>
      <c r="H213" s="3" t="n">
        <v>12</v>
      </c>
      <c r="I213" s="3" t="s">
        <v>21</v>
      </c>
      <c r="J213" s="3" t="s">
        <v>16</v>
      </c>
      <c r="K213" s="3" t="n">
        <v>100</v>
      </c>
      <c r="L213" s="7" t="str">
        <f aca="false">IF(B213&lt;25,"Gen Z",IF(B213&lt;40,"Millennial",IF(B213&lt;55,"Gen X","Baby Boomer")))</f>
        <v>Millennial</v>
      </c>
      <c r="M213" s="7" t="str">
        <f aca="false">IF(E213&lt;50000,"Low Income",IF(E213&lt;80000,"Middle Income",IF(E213&lt;100000,"Upper Middle","High Income")))</f>
        <v>Middle Income</v>
      </c>
      <c r="N213" s="7" t="str">
        <f aca="false">IF(F213&lt;=3,"Poor",IF(F213&lt;=6,"Average",IF(F213&lt;=8,"Good","Excellent")))</f>
        <v>Average</v>
      </c>
      <c r="O213" s="7" t="str">
        <f aca="false">IF(G213&lt;=3,"Poor",IF(G213&lt;=6,"Average",IF(G213&lt;=8,"Good","Excellent")))</f>
        <v>Excellent</v>
      </c>
      <c r="P213" s="7" t="str">
        <f aca="false">IF(H213&lt;=5,"Low Frequency",IF(H213&lt;=10,"Moderate",IF(H213&lt;=15,"High","Very High")))</f>
        <v>High</v>
      </c>
      <c r="Q213" s="7" t="str">
        <f aca="false">IF(K213&gt;=90,"Highly Satisfied",IF(K213&gt;=75,"Satisfied",IF(K213&gt;=60,"Neutral","Dissatisfied")))</f>
        <v>Highly Satisfied</v>
      </c>
      <c r="R213" s="7" t="str">
        <f aca="false">UPPER(LEFT(TRIM(J213),1))&amp;LOWER(MID(TRIM(J213),2,100))</f>
        <v>Gold</v>
      </c>
      <c r="S213" s="7" t="str">
        <f aca="false">IF(I213="High","Positive",IF(I213="Medium","Neutral","Negative"))</f>
        <v>Positive</v>
      </c>
      <c r="T213" s="7" t="str">
        <f aca="false">IF(AND(E213&gt;=80000,H213&gt;=15),"Premium",IF(AND(E213&gt;=50000,H213&gt;=10),"Standard","Basic"))</f>
        <v>Standard</v>
      </c>
      <c r="U213" s="7" t="str">
        <f aca="false">IF(AND(F213&gt;=7,G213&gt;=7),"High Quality Experience","Review Needed")</f>
        <v>Review Needed</v>
      </c>
      <c r="V213" s="7" t="str">
        <f aca="false">IF(H213&gt;=10,"Repeat Buyer","Occasional Buyer")</f>
        <v>Repeat Buyer</v>
      </c>
      <c r="W213" s="7" t="str">
        <f aca="false">IF(AND(K213&lt;70,I213="Low"),"At Risk","Stable")</f>
        <v>Stable</v>
      </c>
      <c r="X213" s="7" t="str">
        <f aca="false">IF(AND(K213&lt;75,I213="Low",J213="Bronze"),"Priority Followup","No Action")</f>
        <v>No Action</v>
      </c>
    </row>
    <row r="214" customFormat="false" ht="15" hidden="false" customHeight="false" outlineLevel="0" collapsed="false">
      <c r="A214" s="2" t="n">
        <v>212</v>
      </c>
      <c r="B214" s="2" t="n">
        <v>49</v>
      </c>
      <c r="C214" s="2" t="s">
        <v>17</v>
      </c>
      <c r="D214" s="2" t="s">
        <v>18</v>
      </c>
      <c r="E214" s="2" t="n">
        <v>90570</v>
      </c>
      <c r="F214" s="2" t="n">
        <v>4</v>
      </c>
      <c r="G214" s="2" t="n">
        <v>7</v>
      </c>
      <c r="H214" s="2" t="n">
        <v>1</v>
      </c>
      <c r="I214" s="2" t="s">
        <v>13</v>
      </c>
      <c r="J214" s="2" t="s">
        <v>19</v>
      </c>
      <c r="K214" s="2" t="n">
        <v>92.83</v>
      </c>
      <c r="L214" s="8" t="str">
        <f aca="false">IF(B214&lt;25,"Gen Z",IF(B214&lt;40,"Millennial",IF(B214&lt;55,"Gen X","Baby Boomer")))</f>
        <v>Gen X</v>
      </c>
      <c r="M214" s="8" t="str">
        <f aca="false">IF(E214&lt;50000,"Low Income",IF(E214&lt;80000,"Middle Income",IF(E214&lt;100000,"Upper Middle","High Income")))</f>
        <v>Upper Middle</v>
      </c>
      <c r="N214" s="8" t="str">
        <f aca="false">IF(F214&lt;=3,"Poor",IF(F214&lt;=6,"Average",IF(F214&lt;=8,"Good","Excellent")))</f>
        <v>Average</v>
      </c>
      <c r="O214" s="8" t="str">
        <f aca="false">IF(G214&lt;=3,"Poor",IF(G214&lt;=6,"Average",IF(G214&lt;=8,"Good","Excellent")))</f>
        <v>Good</v>
      </c>
      <c r="P214" s="8" t="str">
        <f aca="false">IF(H214&lt;=5,"Low Frequency",IF(H214&lt;=10,"Moderate",IF(H214&lt;=15,"High","Very High")))</f>
        <v>Low Frequency</v>
      </c>
      <c r="Q214" s="8" t="str">
        <f aca="false">IF(K214&gt;=90,"Highly Satisfied",IF(K214&gt;=75,"Satisfied",IF(K214&gt;=60,"Neutral","Dissatisfied")))</f>
        <v>Highly Satisfied</v>
      </c>
      <c r="R214" s="8" t="str">
        <f aca="false">UPPER(LEFT(TRIM(J214),1))&amp;LOWER(MID(TRIM(J214),2,100))</f>
        <v>Silver</v>
      </c>
      <c r="S214" s="8" t="str">
        <f aca="false">IF(I214="High","Positive",IF(I214="Medium","Neutral","Negative"))</f>
        <v>Negative</v>
      </c>
      <c r="T214" s="8" t="str">
        <f aca="false">IF(AND(E214&gt;=80000,H214&gt;=15),"Premium",IF(AND(E214&gt;=50000,H214&gt;=10),"Standard","Basic"))</f>
        <v>Basic</v>
      </c>
      <c r="U214" s="8" t="str">
        <f aca="false">IF(AND(F214&gt;=7,G214&gt;=7),"High Quality Experience","Review Needed")</f>
        <v>Review Needed</v>
      </c>
      <c r="V214" s="8" t="str">
        <f aca="false">IF(H214&gt;=10,"Repeat Buyer","Occasional Buyer")</f>
        <v>Occasional Buyer</v>
      </c>
      <c r="W214" s="8" t="str">
        <f aca="false">IF(AND(K214&lt;70,I214="Low"),"At Risk","Stable")</f>
        <v>Stable</v>
      </c>
      <c r="X214" s="8" t="str">
        <f aca="false">IF(AND(K214&lt;75,I214="Low",J214="Bronze"),"Priority Followup","No Action")</f>
        <v>No Action</v>
      </c>
    </row>
    <row r="215" customFormat="false" ht="15" hidden="false" customHeight="false" outlineLevel="0" collapsed="false">
      <c r="A215" s="3" t="n">
        <v>213</v>
      </c>
      <c r="B215" s="3" t="n">
        <v>49</v>
      </c>
      <c r="C215" s="3" t="s">
        <v>11</v>
      </c>
      <c r="D215" s="3" t="s">
        <v>22</v>
      </c>
      <c r="E215" s="3" t="n">
        <v>66360</v>
      </c>
      <c r="F215" s="3" t="n">
        <v>4</v>
      </c>
      <c r="G215" s="3" t="n">
        <v>8</v>
      </c>
      <c r="H215" s="3" t="n">
        <v>19</v>
      </c>
      <c r="I215" s="3" t="s">
        <v>21</v>
      </c>
      <c r="J215" s="3" t="s">
        <v>19</v>
      </c>
      <c r="K215" s="3" t="n">
        <v>100</v>
      </c>
      <c r="L215" s="7" t="str">
        <f aca="false">IF(B215&lt;25,"Gen Z",IF(B215&lt;40,"Millennial",IF(B215&lt;55,"Gen X","Baby Boomer")))</f>
        <v>Gen X</v>
      </c>
      <c r="M215" s="7" t="str">
        <f aca="false">IF(E215&lt;50000,"Low Income",IF(E215&lt;80000,"Middle Income",IF(E215&lt;100000,"Upper Middle","High Income")))</f>
        <v>Middle Income</v>
      </c>
      <c r="N215" s="7" t="str">
        <f aca="false">IF(F215&lt;=3,"Poor",IF(F215&lt;=6,"Average",IF(F215&lt;=8,"Good","Excellent")))</f>
        <v>Average</v>
      </c>
      <c r="O215" s="7" t="str">
        <f aca="false">IF(G215&lt;=3,"Poor",IF(G215&lt;=6,"Average",IF(G215&lt;=8,"Good","Excellent")))</f>
        <v>Good</v>
      </c>
      <c r="P215" s="7" t="str">
        <f aca="false">IF(H215&lt;=5,"Low Frequency",IF(H215&lt;=10,"Moderate",IF(H215&lt;=15,"High","Very High")))</f>
        <v>Very High</v>
      </c>
      <c r="Q215" s="7" t="str">
        <f aca="false">IF(K215&gt;=90,"Highly Satisfied",IF(K215&gt;=75,"Satisfied",IF(K215&gt;=60,"Neutral","Dissatisfied")))</f>
        <v>Highly Satisfied</v>
      </c>
      <c r="R215" s="7" t="str">
        <f aca="false">UPPER(LEFT(TRIM(J215),1))&amp;LOWER(MID(TRIM(J215),2,100))</f>
        <v>Silver</v>
      </c>
      <c r="S215" s="7" t="str">
        <f aca="false">IF(I215="High","Positive",IF(I215="Medium","Neutral","Negative"))</f>
        <v>Positive</v>
      </c>
      <c r="T215" s="7" t="str">
        <f aca="false">IF(AND(E215&gt;=80000,H215&gt;=15),"Premium",IF(AND(E215&gt;=50000,H215&gt;=10),"Standard","Basic"))</f>
        <v>Standard</v>
      </c>
      <c r="U215" s="7" t="str">
        <f aca="false">IF(AND(F215&gt;=7,G215&gt;=7),"High Quality Experience","Review Needed")</f>
        <v>Review Needed</v>
      </c>
      <c r="V215" s="7" t="str">
        <f aca="false">IF(H215&gt;=10,"Repeat Buyer","Occasional Buyer")</f>
        <v>Repeat Buyer</v>
      </c>
      <c r="W215" s="7" t="str">
        <f aca="false">IF(AND(K215&lt;70,I215="Low"),"At Risk","Stable")</f>
        <v>Stable</v>
      </c>
      <c r="X215" s="7" t="str">
        <f aca="false">IF(AND(K215&lt;75,I215="Low",J215="Bronze"),"Priority Followup","No Action")</f>
        <v>No Action</v>
      </c>
    </row>
    <row r="216" customFormat="false" ht="15" hidden="false" customHeight="false" outlineLevel="0" collapsed="false">
      <c r="A216" s="2" t="n">
        <v>214</v>
      </c>
      <c r="B216" s="2" t="n">
        <v>41</v>
      </c>
      <c r="C216" s="2" t="s">
        <v>17</v>
      </c>
      <c r="D216" s="2" t="s">
        <v>18</v>
      </c>
      <c r="E216" s="2" t="n">
        <v>108649</v>
      </c>
      <c r="F216" s="2" t="n">
        <v>8</v>
      </c>
      <c r="G216" s="2" t="n">
        <v>6</v>
      </c>
      <c r="H216" s="2" t="n">
        <v>6</v>
      </c>
      <c r="I216" s="2" t="s">
        <v>21</v>
      </c>
      <c r="J216" s="2" t="s">
        <v>19</v>
      </c>
      <c r="K216" s="2" t="n">
        <v>94.44</v>
      </c>
      <c r="L216" s="8" t="str">
        <f aca="false">IF(B216&lt;25,"Gen Z",IF(B216&lt;40,"Millennial",IF(B216&lt;55,"Gen X","Baby Boomer")))</f>
        <v>Gen X</v>
      </c>
      <c r="M216" s="8" t="str">
        <f aca="false">IF(E216&lt;50000,"Low Income",IF(E216&lt;80000,"Middle Income",IF(E216&lt;100000,"Upper Middle","High Income")))</f>
        <v>High Income</v>
      </c>
      <c r="N216" s="8" t="str">
        <f aca="false">IF(F216&lt;=3,"Poor",IF(F216&lt;=6,"Average",IF(F216&lt;=8,"Good","Excellent")))</f>
        <v>Good</v>
      </c>
      <c r="O216" s="8" t="str">
        <f aca="false">IF(G216&lt;=3,"Poor",IF(G216&lt;=6,"Average",IF(G216&lt;=8,"Good","Excellent")))</f>
        <v>Average</v>
      </c>
      <c r="P216" s="8" t="str">
        <f aca="false">IF(H216&lt;=5,"Low Frequency",IF(H216&lt;=10,"Moderate",IF(H216&lt;=15,"High","Very High")))</f>
        <v>Moderate</v>
      </c>
      <c r="Q216" s="8" t="str">
        <f aca="false">IF(K216&gt;=90,"Highly Satisfied",IF(K216&gt;=75,"Satisfied",IF(K216&gt;=60,"Neutral","Dissatisfied")))</f>
        <v>Highly Satisfied</v>
      </c>
      <c r="R216" s="8" t="str">
        <f aca="false">UPPER(LEFT(TRIM(J216),1))&amp;LOWER(MID(TRIM(J216),2,100))</f>
        <v>Silver</v>
      </c>
      <c r="S216" s="8" t="str">
        <f aca="false">IF(I216="High","Positive",IF(I216="Medium","Neutral","Negative"))</f>
        <v>Positive</v>
      </c>
      <c r="T216" s="8" t="str">
        <f aca="false">IF(AND(E216&gt;=80000,H216&gt;=15),"Premium",IF(AND(E216&gt;=50000,H216&gt;=10),"Standard","Basic"))</f>
        <v>Basic</v>
      </c>
      <c r="U216" s="8" t="str">
        <f aca="false">IF(AND(F216&gt;=7,G216&gt;=7),"High Quality Experience","Review Needed")</f>
        <v>Review Needed</v>
      </c>
      <c r="V216" s="8" t="str">
        <f aca="false">IF(H216&gt;=10,"Repeat Buyer","Occasional Buyer")</f>
        <v>Occasional Buyer</v>
      </c>
      <c r="W216" s="8" t="str">
        <f aca="false">IF(AND(K216&lt;70,I216="Low"),"At Risk","Stable")</f>
        <v>Stable</v>
      </c>
      <c r="X216" s="8" t="str">
        <f aca="false">IF(AND(K216&lt;75,I216="Low",J216="Bronze"),"Priority Followup","No Action")</f>
        <v>No Action</v>
      </c>
    </row>
    <row r="217" customFormat="false" ht="15" hidden="false" customHeight="false" outlineLevel="0" collapsed="false">
      <c r="A217" s="3" t="n">
        <v>215</v>
      </c>
      <c r="B217" s="3" t="n">
        <v>58</v>
      </c>
      <c r="C217" s="3" t="s">
        <v>17</v>
      </c>
      <c r="D217" s="3" t="s">
        <v>18</v>
      </c>
      <c r="E217" s="3" t="n">
        <v>112683</v>
      </c>
      <c r="F217" s="3" t="n">
        <v>4</v>
      </c>
      <c r="G217" s="3" t="n">
        <v>6</v>
      </c>
      <c r="H217" s="3" t="n">
        <v>4</v>
      </c>
      <c r="I217" s="3" t="s">
        <v>13</v>
      </c>
      <c r="J217" s="3" t="s">
        <v>14</v>
      </c>
      <c r="K217" s="3" t="n">
        <v>100</v>
      </c>
      <c r="L217" s="7" t="str">
        <f aca="false">IF(B217&lt;25,"Gen Z",IF(B217&lt;40,"Millennial",IF(B217&lt;55,"Gen X","Baby Boomer")))</f>
        <v>Baby Boomer</v>
      </c>
      <c r="M217" s="7" t="str">
        <f aca="false">IF(E217&lt;50000,"Low Income",IF(E217&lt;80000,"Middle Income",IF(E217&lt;100000,"Upper Middle","High Income")))</f>
        <v>High Income</v>
      </c>
      <c r="N217" s="7" t="str">
        <f aca="false">IF(F217&lt;=3,"Poor",IF(F217&lt;=6,"Average",IF(F217&lt;=8,"Good","Excellent")))</f>
        <v>Average</v>
      </c>
      <c r="O217" s="7" t="str">
        <f aca="false">IF(G217&lt;=3,"Poor",IF(G217&lt;=6,"Average",IF(G217&lt;=8,"Good","Excellent")))</f>
        <v>Average</v>
      </c>
      <c r="P217" s="7" t="str">
        <f aca="false">IF(H217&lt;=5,"Low Frequency",IF(H217&lt;=10,"Moderate",IF(H217&lt;=15,"High","Very High")))</f>
        <v>Low Frequency</v>
      </c>
      <c r="Q217" s="7" t="str">
        <f aca="false">IF(K217&gt;=90,"Highly Satisfied",IF(K217&gt;=75,"Satisfied",IF(K217&gt;=60,"Neutral","Dissatisfied")))</f>
        <v>Highly Satisfied</v>
      </c>
      <c r="R217" s="7" t="str">
        <f aca="false">UPPER(LEFT(TRIM(J217),1))&amp;LOWER(MID(TRIM(J217),2,100))</f>
        <v>Bronze</v>
      </c>
      <c r="S217" s="7" t="str">
        <f aca="false">IF(I217="High","Positive",IF(I217="Medium","Neutral","Negative"))</f>
        <v>Negative</v>
      </c>
      <c r="T217" s="7" t="str">
        <f aca="false">IF(AND(E217&gt;=80000,H217&gt;=15),"Premium",IF(AND(E217&gt;=50000,H217&gt;=10),"Standard","Basic"))</f>
        <v>Basic</v>
      </c>
      <c r="U217" s="7" t="str">
        <f aca="false">IF(AND(F217&gt;=7,G217&gt;=7),"High Quality Experience","Review Needed")</f>
        <v>Review Needed</v>
      </c>
      <c r="V217" s="7" t="str">
        <f aca="false">IF(H217&gt;=10,"Repeat Buyer","Occasional Buyer")</f>
        <v>Occasional Buyer</v>
      </c>
      <c r="W217" s="7" t="str">
        <f aca="false">IF(AND(K217&lt;70,I217="Low"),"At Risk","Stable")</f>
        <v>Stable</v>
      </c>
      <c r="X217" s="7" t="str">
        <f aca="false">IF(AND(K217&lt;75,I217="Low",J217="Bronze"),"Priority Followup","No Action")</f>
        <v>No Action</v>
      </c>
    </row>
    <row r="218" customFormat="false" ht="15" hidden="false" customHeight="false" outlineLevel="0" collapsed="false">
      <c r="A218" s="2" t="n">
        <v>216</v>
      </c>
      <c r="B218" s="2" t="n">
        <v>69</v>
      </c>
      <c r="C218" s="2" t="s">
        <v>11</v>
      </c>
      <c r="D218" s="2" t="s">
        <v>22</v>
      </c>
      <c r="E218" s="2" t="n">
        <v>100685</v>
      </c>
      <c r="F218" s="2" t="n">
        <v>3</v>
      </c>
      <c r="G218" s="2" t="n">
        <v>2</v>
      </c>
      <c r="H218" s="2" t="n">
        <v>14</v>
      </c>
      <c r="I218" s="2" t="s">
        <v>21</v>
      </c>
      <c r="J218" s="2" t="s">
        <v>19</v>
      </c>
      <c r="K218" s="2" t="n">
        <v>64.29</v>
      </c>
      <c r="L218" s="8" t="str">
        <f aca="false">IF(B218&lt;25,"Gen Z",IF(B218&lt;40,"Millennial",IF(B218&lt;55,"Gen X","Baby Boomer")))</f>
        <v>Baby Boomer</v>
      </c>
      <c r="M218" s="8" t="str">
        <f aca="false">IF(E218&lt;50000,"Low Income",IF(E218&lt;80000,"Middle Income",IF(E218&lt;100000,"Upper Middle","High Income")))</f>
        <v>High Income</v>
      </c>
      <c r="N218" s="8" t="str">
        <f aca="false">IF(F218&lt;=3,"Poor",IF(F218&lt;=6,"Average",IF(F218&lt;=8,"Good","Excellent")))</f>
        <v>Poor</v>
      </c>
      <c r="O218" s="8" t="str">
        <f aca="false">IF(G218&lt;=3,"Poor",IF(G218&lt;=6,"Average",IF(G218&lt;=8,"Good","Excellent")))</f>
        <v>Poor</v>
      </c>
      <c r="P218" s="8" t="str">
        <f aca="false">IF(H218&lt;=5,"Low Frequency",IF(H218&lt;=10,"Moderate",IF(H218&lt;=15,"High","Very High")))</f>
        <v>High</v>
      </c>
      <c r="Q218" s="8" t="str">
        <f aca="false">IF(K218&gt;=90,"Highly Satisfied",IF(K218&gt;=75,"Satisfied",IF(K218&gt;=60,"Neutral","Dissatisfied")))</f>
        <v>Neutral</v>
      </c>
      <c r="R218" s="8" t="str">
        <f aca="false">UPPER(LEFT(TRIM(J218),1))&amp;LOWER(MID(TRIM(J218),2,100))</f>
        <v>Silver</v>
      </c>
      <c r="S218" s="8" t="str">
        <f aca="false">IF(I218="High","Positive",IF(I218="Medium","Neutral","Negative"))</f>
        <v>Positive</v>
      </c>
      <c r="T218" s="8" t="str">
        <f aca="false">IF(AND(E218&gt;=80000,H218&gt;=15),"Premium",IF(AND(E218&gt;=50000,H218&gt;=10),"Standard","Basic"))</f>
        <v>Standard</v>
      </c>
      <c r="U218" s="8" t="str">
        <f aca="false">IF(AND(F218&gt;=7,G218&gt;=7),"High Quality Experience","Review Needed")</f>
        <v>Review Needed</v>
      </c>
      <c r="V218" s="8" t="str">
        <f aca="false">IF(H218&gt;=10,"Repeat Buyer","Occasional Buyer")</f>
        <v>Repeat Buyer</v>
      </c>
      <c r="W218" s="8" t="str">
        <f aca="false">IF(AND(K218&lt;70,I218="Low"),"At Risk","Stable")</f>
        <v>Stable</v>
      </c>
      <c r="X218" s="8" t="str">
        <f aca="false">IF(AND(K218&lt;75,I218="Low",J218="Bronze"),"Priority Followup","No Action")</f>
        <v>No Action</v>
      </c>
    </row>
    <row r="219" customFormat="false" ht="15" hidden="false" customHeight="false" outlineLevel="0" collapsed="false">
      <c r="A219" s="3" t="n">
        <v>217</v>
      </c>
      <c r="B219" s="3" t="n">
        <v>66</v>
      </c>
      <c r="C219" s="3" t="s">
        <v>11</v>
      </c>
      <c r="D219" s="3" t="s">
        <v>20</v>
      </c>
      <c r="E219" s="3" t="n">
        <v>38141</v>
      </c>
      <c r="F219" s="3" t="n">
        <v>6</v>
      </c>
      <c r="G219" s="3" t="n">
        <v>10</v>
      </c>
      <c r="H219" s="3" t="n">
        <v>11</v>
      </c>
      <c r="I219" s="3" t="s">
        <v>21</v>
      </c>
      <c r="J219" s="3" t="s">
        <v>16</v>
      </c>
      <c r="K219" s="3" t="n">
        <v>100</v>
      </c>
      <c r="L219" s="7" t="str">
        <f aca="false">IF(B219&lt;25,"Gen Z",IF(B219&lt;40,"Millennial",IF(B219&lt;55,"Gen X","Baby Boomer")))</f>
        <v>Baby Boomer</v>
      </c>
      <c r="M219" s="7" t="str">
        <f aca="false">IF(E219&lt;50000,"Low Income",IF(E219&lt;80000,"Middle Income",IF(E219&lt;100000,"Upper Middle","High Income")))</f>
        <v>Low Income</v>
      </c>
      <c r="N219" s="7" t="str">
        <f aca="false">IF(F219&lt;=3,"Poor",IF(F219&lt;=6,"Average",IF(F219&lt;=8,"Good","Excellent")))</f>
        <v>Average</v>
      </c>
      <c r="O219" s="7" t="str">
        <f aca="false">IF(G219&lt;=3,"Poor",IF(G219&lt;=6,"Average",IF(G219&lt;=8,"Good","Excellent")))</f>
        <v>Excellent</v>
      </c>
      <c r="P219" s="7" t="str">
        <f aca="false">IF(H219&lt;=5,"Low Frequency",IF(H219&lt;=10,"Moderate",IF(H219&lt;=15,"High","Very High")))</f>
        <v>High</v>
      </c>
      <c r="Q219" s="7" t="str">
        <f aca="false">IF(K219&gt;=90,"Highly Satisfied",IF(K219&gt;=75,"Satisfied",IF(K219&gt;=60,"Neutral","Dissatisfied")))</f>
        <v>Highly Satisfied</v>
      </c>
      <c r="R219" s="7" t="str">
        <f aca="false">UPPER(LEFT(TRIM(J219),1))&amp;LOWER(MID(TRIM(J219),2,100))</f>
        <v>Gold</v>
      </c>
      <c r="S219" s="7" t="str">
        <f aca="false">IF(I219="High","Positive",IF(I219="Medium","Neutral","Negative"))</f>
        <v>Positive</v>
      </c>
      <c r="T219" s="7" t="str">
        <f aca="false">IF(AND(E219&gt;=80000,H219&gt;=15),"Premium",IF(AND(E219&gt;=50000,H219&gt;=10),"Standard","Basic"))</f>
        <v>Basic</v>
      </c>
      <c r="U219" s="7" t="str">
        <f aca="false">IF(AND(F219&gt;=7,G219&gt;=7),"High Quality Experience","Review Needed")</f>
        <v>Review Needed</v>
      </c>
      <c r="V219" s="7" t="str">
        <f aca="false">IF(H219&gt;=10,"Repeat Buyer","Occasional Buyer")</f>
        <v>Repeat Buyer</v>
      </c>
      <c r="W219" s="7" t="str">
        <f aca="false">IF(AND(K219&lt;70,I219="Low"),"At Risk","Stable")</f>
        <v>Stable</v>
      </c>
      <c r="X219" s="7" t="str">
        <f aca="false">IF(AND(K219&lt;75,I219="Low",J219="Bronze"),"Priority Followup","No Action")</f>
        <v>No Action</v>
      </c>
    </row>
    <row r="220" customFormat="false" ht="15" hidden="false" customHeight="false" outlineLevel="0" collapsed="false">
      <c r="A220" s="2" t="n">
        <v>218</v>
      </c>
      <c r="B220" s="2" t="n">
        <v>66</v>
      </c>
      <c r="C220" s="2" t="s">
        <v>11</v>
      </c>
      <c r="D220" s="2" t="s">
        <v>12</v>
      </c>
      <c r="E220" s="2" t="n">
        <v>88668</v>
      </c>
      <c r="F220" s="2" t="n">
        <v>2</v>
      </c>
      <c r="G220" s="2" t="n">
        <v>5</v>
      </c>
      <c r="H220" s="2" t="n">
        <v>7</v>
      </c>
      <c r="I220" s="2" t="s">
        <v>15</v>
      </c>
      <c r="J220" s="2" t="s">
        <v>19</v>
      </c>
      <c r="K220" s="2" t="n">
        <v>82.81</v>
      </c>
      <c r="L220" s="8" t="str">
        <f aca="false">IF(B220&lt;25,"Gen Z",IF(B220&lt;40,"Millennial",IF(B220&lt;55,"Gen X","Baby Boomer")))</f>
        <v>Baby Boomer</v>
      </c>
      <c r="M220" s="8" t="str">
        <f aca="false">IF(E220&lt;50000,"Low Income",IF(E220&lt;80000,"Middle Income",IF(E220&lt;100000,"Upper Middle","High Income")))</f>
        <v>Upper Middle</v>
      </c>
      <c r="N220" s="8" t="str">
        <f aca="false">IF(F220&lt;=3,"Poor",IF(F220&lt;=6,"Average",IF(F220&lt;=8,"Good","Excellent")))</f>
        <v>Poor</v>
      </c>
      <c r="O220" s="8" t="str">
        <f aca="false">IF(G220&lt;=3,"Poor",IF(G220&lt;=6,"Average",IF(G220&lt;=8,"Good","Excellent")))</f>
        <v>Average</v>
      </c>
      <c r="P220" s="8" t="str">
        <f aca="false">IF(H220&lt;=5,"Low Frequency",IF(H220&lt;=10,"Moderate",IF(H220&lt;=15,"High","Very High")))</f>
        <v>Moderate</v>
      </c>
      <c r="Q220" s="8" t="str">
        <f aca="false">IF(K220&gt;=90,"Highly Satisfied",IF(K220&gt;=75,"Satisfied",IF(K220&gt;=60,"Neutral","Dissatisfied")))</f>
        <v>Satisfied</v>
      </c>
      <c r="R220" s="8" t="str">
        <f aca="false">UPPER(LEFT(TRIM(J220),1))&amp;LOWER(MID(TRIM(J220),2,100))</f>
        <v>Silver</v>
      </c>
      <c r="S220" s="8" t="str">
        <f aca="false">IF(I220="High","Positive",IF(I220="Medium","Neutral","Negative"))</f>
        <v>Neutral</v>
      </c>
      <c r="T220" s="8" t="str">
        <f aca="false">IF(AND(E220&gt;=80000,H220&gt;=15),"Premium",IF(AND(E220&gt;=50000,H220&gt;=10),"Standard","Basic"))</f>
        <v>Basic</v>
      </c>
      <c r="U220" s="8" t="str">
        <f aca="false">IF(AND(F220&gt;=7,G220&gt;=7),"High Quality Experience","Review Needed")</f>
        <v>Review Needed</v>
      </c>
      <c r="V220" s="8" t="str">
        <f aca="false">IF(H220&gt;=10,"Repeat Buyer","Occasional Buyer")</f>
        <v>Occasional Buyer</v>
      </c>
      <c r="W220" s="8" t="str">
        <f aca="false">IF(AND(K220&lt;70,I220="Low"),"At Risk","Stable")</f>
        <v>Stable</v>
      </c>
      <c r="X220" s="8" t="str">
        <f aca="false">IF(AND(K220&lt;75,I220="Low",J220="Bronze"),"Priority Followup","No Action")</f>
        <v>No Action</v>
      </c>
    </row>
    <row r="221" customFormat="false" ht="15" hidden="false" customHeight="false" outlineLevel="0" collapsed="false">
      <c r="A221" s="3" t="n">
        <v>219</v>
      </c>
      <c r="B221" s="3" t="n">
        <v>69</v>
      </c>
      <c r="C221" s="3" t="s">
        <v>11</v>
      </c>
      <c r="D221" s="3" t="s">
        <v>22</v>
      </c>
      <c r="E221" s="3" t="n">
        <v>30924</v>
      </c>
      <c r="F221" s="3" t="n">
        <v>10</v>
      </c>
      <c r="G221" s="3" t="n">
        <v>3</v>
      </c>
      <c r="H221" s="3" t="n">
        <v>6</v>
      </c>
      <c r="I221" s="3" t="s">
        <v>15</v>
      </c>
      <c r="J221" s="3" t="s">
        <v>19</v>
      </c>
      <c r="K221" s="3" t="n">
        <v>100</v>
      </c>
      <c r="L221" s="7" t="str">
        <f aca="false">IF(B221&lt;25,"Gen Z",IF(B221&lt;40,"Millennial",IF(B221&lt;55,"Gen X","Baby Boomer")))</f>
        <v>Baby Boomer</v>
      </c>
      <c r="M221" s="7" t="str">
        <f aca="false">IF(E221&lt;50000,"Low Income",IF(E221&lt;80000,"Middle Income",IF(E221&lt;100000,"Upper Middle","High Income")))</f>
        <v>Low Income</v>
      </c>
      <c r="N221" s="7" t="str">
        <f aca="false">IF(F221&lt;=3,"Poor",IF(F221&lt;=6,"Average",IF(F221&lt;=8,"Good","Excellent")))</f>
        <v>Excellent</v>
      </c>
      <c r="O221" s="7" t="str">
        <f aca="false">IF(G221&lt;=3,"Poor",IF(G221&lt;=6,"Average",IF(G221&lt;=8,"Good","Excellent")))</f>
        <v>Poor</v>
      </c>
      <c r="P221" s="7" t="str">
        <f aca="false">IF(H221&lt;=5,"Low Frequency",IF(H221&lt;=10,"Moderate",IF(H221&lt;=15,"High","Very High")))</f>
        <v>Moderate</v>
      </c>
      <c r="Q221" s="7" t="str">
        <f aca="false">IF(K221&gt;=90,"Highly Satisfied",IF(K221&gt;=75,"Satisfied",IF(K221&gt;=60,"Neutral","Dissatisfied")))</f>
        <v>Highly Satisfied</v>
      </c>
      <c r="R221" s="7" t="str">
        <f aca="false">UPPER(LEFT(TRIM(J221),1))&amp;LOWER(MID(TRIM(J221),2,100))</f>
        <v>Silver</v>
      </c>
      <c r="S221" s="7" t="str">
        <f aca="false">IF(I221="High","Positive",IF(I221="Medium","Neutral","Negative"))</f>
        <v>Neutral</v>
      </c>
      <c r="T221" s="7" t="str">
        <f aca="false">IF(AND(E221&gt;=80000,H221&gt;=15),"Premium",IF(AND(E221&gt;=50000,H221&gt;=10),"Standard","Basic"))</f>
        <v>Basic</v>
      </c>
      <c r="U221" s="7" t="str">
        <f aca="false">IF(AND(F221&gt;=7,G221&gt;=7),"High Quality Experience","Review Needed")</f>
        <v>Review Needed</v>
      </c>
      <c r="V221" s="7" t="str">
        <f aca="false">IF(H221&gt;=10,"Repeat Buyer","Occasional Buyer")</f>
        <v>Occasional Buyer</v>
      </c>
      <c r="W221" s="7" t="str">
        <f aca="false">IF(AND(K221&lt;70,I221="Low"),"At Risk","Stable")</f>
        <v>Stable</v>
      </c>
      <c r="X221" s="7" t="str">
        <f aca="false">IF(AND(K221&lt;75,I221="Low",J221="Bronze"),"Priority Followup","No Action")</f>
        <v>No Action</v>
      </c>
    </row>
    <row r="222" customFormat="false" ht="15" hidden="false" customHeight="false" outlineLevel="0" collapsed="false">
      <c r="A222" s="2" t="n">
        <v>220</v>
      </c>
      <c r="B222" s="2" t="n">
        <v>29</v>
      </c>
      <c r="C222" s="2" t="s">
        <v>11</v>
      </c>
      <c r="D222" s="2" t="s">
        <v>18</v>
      </c>
      <c r="E222" s="2" t="n">
        <v>97291</v>
      </c>
      <c r="F222" s="2" t="n">
        <v>9</v>
      </c>
      <c r="G222" s="2" t="n">
        <v>2</v>
      </c>
      <c r="H222" s="2" t="n">
        <v>19</v>
      </c>
      <c r="I222" s="2" t="s">
        <v>13</v>
      </c>
      <c r="J222" s="2" t="s">
        <v>16</v>
      </c>
      <c r="K222" s="2" t="n">
        <v>100</v>
      </c>
      <c r="L222" s="8" t="str">
        <f aca="false">IF(B222&lt;25,"Gen Z",IF(B222&lt;40,"Millennial",IF(B222&lt;55,"Gen X","Baby Boomer")))</f>
        <v>Millennial</v>
      </c>
      <c r="M222" s="8" t="str">
        <f aca="false">IF(E222&lt;50000,"Low Income",IF(E222&lt;80000,"Middle Income",IF(E222&lt;100000,"Upper Middle","High Income")))</f>
        <v>Upper Middle</v>
      </c>
      <c r="N222" s="8" t="str">
        <f aca="false">IF(F222&lt;=3,"Poor",IF(F222&lt;=6,"Average",IF(F222&lt;=8,"Good","Excellent")))</f>
        <v>Excellent</v>
      </c>
      <c r="O222" s="8" t="str">
        <f aca="false">IF(G222&lt;=3,"Poor",IF(G222&lt;=6,"Average",IF(G222&lt;=8,"Good","Excellent")))</f>
        <v>Poor</v>
      </c>
      <c r="P222" s="8" t="str">
        <f aca="false">IF(H222&lt;=5,"Low Frequency",IF(H222&lt;=10,"Moderate",IF(H222&lt;=15,"High","Very High")))</f>
        <v>Very High</v>
      </c>
      <c r="Q222" s="8" t="str">
        <f aca="false">IF(K222&gt;=90,"Highly Satisfied",IF(K222&gt;=75,"Satisfied",IF(K222&gt;=60,"Neutral","Dissatisfied")))</f>
        <v>Highly Satisfied</v>
      </c>
      <c r="R222" s="8" t="str">
        <f aca="false">UPPER(LEFT(TRIM(J222),1))&amp;LOWER(MID(TRIM(J222),2,100))</f>
        <v>Gold</v>
      </c>
      <c r="S222" s="8" t="str">
        <f aca="false">IF(I222="High","Positive",IF(I222="Medium","Neutral","Negative"))</f>
        <v>Negative</v>
      </c>
      <c r="T222" s="8" t="str">
        <f aca="false">IF(AND(E222&gt;=80000,H222&gt;=15),"Premium",IF(AND(E222&gt;=50000,H222&gt;=10),"Standard","Basic"))</f>
        <v>Premium</v>
      </c>
      <c r="U222" s="8" t="str">
        <f aca="false">IF(AND(F222&gt;=7,G222&gt;=7),"High Quality Experience","Review Needed")</f>
        <v>Review Needed</v>
      </c>
      <c r="V222" s="8" t="str">
        <f aca="false">IF(H222&gt;=10,"Repeat Buyer","Occasional Buyer")</f>
        <v>Repeat Buyer</v>
      </c>
      <c r="W222" s="8" t="str">
        <f aca="false">IF(AND(K222&lt;70,I222="Low"),"At Risk","Stable")</f>
        <v>Stable</v>
      </c>
      <c r="X222" s="8" t="str">
        <f aca="false">IF(AND(K222&lt;75,I222="Low",J222="Bronze"),"Priority Followup","No Action")</f>
        <v>No Action</v>
      </c>
    </row>
    <row r="223" customFormat="false" ht="15" hidden="false" customHeight="false" outlineLevel="0" collapsed="false">
      <c r="A223" s="3" t="n">
        <v>221</v>
      </c>
      <c r="B223" s="3" t="n">
        <v>56</v>
      </c>
      <c r="C223" s="3" t="s">
        <v>17</v>
      </c>
      <c r="D223" s="3" t="s">
        <v>23</v>
      </c>
      <c r="E223" s="3" t="n">
        <v>103502</v>
      </c>
      <c r="F223" s="3" t="n">
        <v>5</v>
      </c>
      <c r="G223" s="3" t="n">
        <v>5</v>
      </c>
      <c r="H223" s="3" t="n">
        <v>19</v>
      </c>
      <c r="I223" s="3" t="s">
        <v>15</v>
      </c>
      <c r="J223" s="3" t="s">
        <v>16</v>
      </c>
      <c r="K223" s="3" t="n">
        <v>100</v>
      </c>
      <c r="L223" s="7" t="str">
        <f aca="false">IF(B223&lt;25,"Gen Z",IF(B223&lt;40,"Millennial",IF(B223&lt;55,"Gen X","Baby Boomer")))</f>
        <v>Baby Boomer</v>
      </c>
      <c r="M223" s="7" t="str">
        <f aca="false">IF(E223&lt;50000,"Low Income",IF(E223&lt;80000,"Middle Income",IF(E223&lt;100000,"Upper Middle","High Income")))</f>
        <v>High Income</v>
      </c>
      <c r="N223" s="7" t="str">
        <f aca="false">IF(F223&lt;=3,"Poor",IF(F223&lt;=6,"Average",IF(F223&lt;=8,"Good","Excellent")))</f>
        <v>Average</v>
      </c>
      <c r="O223" s="7" t="str">
        <f aca="false">IF(G223&lt;=3,"Poor",IF(G223&lt;=6,"Average",IF(G223&lt;=8,"Good","Excellent")))</f>
        <v>Average</v>
      </c>
      <c r="P223" s="7" t="str">
        <f aca="false">IF(H223&lt;=5,"Low Frequency",IF(H223&lt;=10,"Moderate",IF(H223&lt;=15,"High","Very High")))</f>
        <v>Very High</v>
      </c>
      <c r="Q223" s="7" t="str">
        <f aca="false">IF(K223&gt;=90,"Highly Satisfied",IF(K223&gt;=75,"Satisfied",IF(K223&gt;=60,"Neutral","Dissatisfied")))</f>
        <v>Highly Satisfied</v>
      </c>
      <c r="R223" s="7" t="str">
        <f aca="false">UPPER(LEFT(TRIM(J223),1))&amp;LOWER(MID(TRIM(J223),2,100))</f>
        <v>Gold</v>
      </c>
      <c r="S223" s="7" t="str">
        <f aca="false">IF(I223="High","Positive",IF(I223="Medium","Neutral","Negative"))</f>
        <v>Neutral</v>
      </c>
      <c r="T223" s="7" t="str">
        <f aca="false">IF(AND(E223&gt;=80000,H223&gt;=15),"Premium",IF(AND(E223&gt;=50000,H223&gt;=10),"Standard","Basic"))</f>
        <v>Premium</v>
      </c>
      <c r="U223" s="7" t="str">
        <f aca="false">IF(AND(F223&gt;=7,G223&gt;=7),"High Quality Experience","Review Needed")</f>
        <v>Review Needed</v>
      </c>
      <c r="V223" s="7" t="str">
        <f aca="false">IF(H223&gt;=10,"Repeat Buyer","Occasional Buyer")</f>
        <v>Repeat Buyer</v>
      </c>
      <c r="W223" s="7" t="str">
        <f aca="false">IF(AND(K223&lt;70,I223="Low"),"At Risk","Stable")</f>
        <v>Stable</v>
      </c>
      <c r="X223" s="7" t="str">
        <f aca="false">IF(AND(K223&lt;75,I223="Low",J223="Bronze"),"Priority Followup","No Action")</f>
        <v>No Action</v>
      </c>
    </row>
    <row r="224" customFormat="false" ht="15" hidden="false" customHeight="false" outlineLevel="0" collapsed="false">
      <c r="A224" s="2" t="n">
        <v>222</v>
      </c>
      <c r="B224" s="2" t="n">
        <v>19</v>
      </c>
      <c r="C224" s="2" t="s">
        <v>11</v>
      </c>
      <c r="D224" s="2" t="s">
        <v>22</v>
      </c>
      <c r="E224" s="2" t="n">
        <v>109568</v>
      </c>
      <c r="F224" s="2" t="n">
        <v>7</v>
      </c>
      <c r="G224" s="2" t="n">
        <v>6</v>
      </c>
      <c r="H224" s="2" t="n">
        <v>11</v>
      </c>
      <c r="I224" s="2" t="s">
        <v>15</v>
      </c>
      <c r="J224" s="2" t="s">
        <v>19</v>
      </c>
      <c r="K224" s="2" t="n">
        <v>100</v>
      </c>
      <c r="L224" s="8" t="str">
        <f aca="false">IF(B224&lt;25,"Gen Z",IF(B224&lt;40,"Millennial",IF(B224&lt;55,"Gen X","Baby Boomer")))</f>
        <v>Gen Z</v>
      </c>
      <c r="M224" s="8" t="str">
        <f aca="false">IF(E224&lt;50000,"Low Income",IF(E224&lt;80000,"Middle Income",IF(E224&lt;100000,"Upper Middle","High Income")))</f>
        <v>High Income</v>
      </c>
      <c r="N224" s="8" t="str">
        <f aca="false">IF(F224&lt;=3,"Poor",IF(F224&lt;=6,"Average",IF(F224&lt;=8,"Good","Excellent")))</f>
        <v>Good</v>
      </c>
      <c r="O224" s="8" t="str">
        <f aca="false">IF(G224&lt;=3,"Poor",IF(G224&lt;=6,"Average",IF(G224&lt;=8,"Good","Excellent")))</f>
        <v>Average</v>
      </c>
      <c r="P224" s="8" t="str">
        <f aca="false">IF(H224&lt;=5,"Low Frequency",IF(H224&lt;=10,"Moderate",IF(H224&lt;=15,"High","Very High")))</f>
        <v>High</v>
      </c>
      <c r="Q224" s="8" t="str">
        <f aca="false">IF(K224&gt;=90,"Highly Satisfied",IF(K224&gt;=75,"Satisfied",IF(K224&gt;=60,"Neutral","Dissatisfied")))</f>
        <v>Highly Satisfied</v>
      </c>
      <c r="R224" s="8" t="str">
        <f aca="false">UPPER(LEFT(TRIM(J224),1))&amp;LOWER(MID(TRIM(J224),2,100))</f>
        <v>Silver</v>
      </c>
      <c r="S224" s="8" t="str">
        <f aca="false">IF(I224="High","Positive",IF(I224="Medium","Neutral","Negative"))</f>
        <v>Neutral</v>
      </c>
      <c r="T224" s="8" t="str">
        <f aca="false">IF(AND(E224&gt;=80000,H224&gt;=15),"Premium",IF(AND(E224&gt;=50000,H224&gt;=10),"Standard","Basic"))</f>
        <v>Standard</v>
      </c>
      <c r="U224" s="8" t="str">
        <f aca="false">IF(AND(F224&gt;=7,G224&gt;=7),"High Quality Experience","Review Needed")</f>
        <v>Review Needed</v>
      </c>
      <c r="V224" s="8" t="str">
        <f aca="false">IF(H224&gt;=10,"Repeat Buyer","Occasional Buyer")</f>
        <v>Repeat Buyer</v>
      </c>
      <c r="W224" s="8" t="str">
        <f aca="false">IF(AND(K224&lt;70,I224="Low"),"At Risk","Stable")</f>
        <v>Stable</v>
      </c>
      <c r="X224" s="8" t="str">
        <f aca="false">IF(AND(K224&lt;75,I224="Low",J224="Bronze"),"Priority Followup","No Action")</f>
        <v>No Action</v>
      </c>
    </row>
    <row r="225" customFormat="false" ht="15" hidden="false" customHeight="false" outlineLevel="0" collapsed="false">
      <c r="A225" s="3" t="n">
        <v>223</v>
      </c>
      <c r="B225" s="3" t="n">
        <v>20</v>
      </c>
      <c r="C225" s="3" t="s">
        <v>17</v>
      </c>
      <c r="D225" s="3" t="s">
        <v>22</v>
      </c>
      <c r="E225" s="3" t="n">
        <v>67503</v>
      </c>
      <c r="F225" s="3" t="n">
        <v>1</v>
      </c>
      <c r="G225" s="3" t="n">
        <v>3</v>
      </c>
      <c r="H225" s="3" t="n">
        <v>14</v>
      </c>
      <c r="I225" s="3" t="s">
        <v>13</v>
      </c>
      <c r="J225" s="3" t="s">
        <v>16</v>
      </c>
      <c r="K225" s="3" t="n">
        <v>55.01</v>
      </c>
      <c r="L225" s="7" t="str">
        <f aca="false">IF(B225&lt;25,"Gen Z",IF(B225&lt;40,"Millennial",IF(B225&lt;55,"Gen X","Baby Boomer")))</f>
        <v>Gen Z</v>
      </c>
      <c r="M225" s="7" t="str">
        <f aca="false">IF(E225&lt;50000,"Low Income",IF(E225&lt;80000,"Middle Income",IF(E225&lt;100000,"Upper Middle","High Income")))</f>
        <v>Middle Income</v>
      </c>
      <c r="N225" s="7" t="str">
        <f aca="false">IF(F225&lt;=3,"Poor",IF(F225&lt;=6,"Average",IF(F225&lt;=8,"Good","Excellent")))</f>
        <v>Poor</v>
      </c>
      <c r="O225" s="7" t="str">
        <f aca="false">IF(G225&lt;=3,"Poor",IF(G225&lt;=6,"Average",IF(G225&lt;=8,"Good","Excellent")))</f>
        <v>Poor</v>
      </c>
      <c r="P225" s="7" t="str">
        <f aca="false">IF(H225&lt;=5,"Low Frequency",IF(H225&lt;=10,"Moderate",IF(H225&lt;=15,"High","Very High")))</f>
        <v>High</v>
      </c>
      <c r="Q225" s="7" t="str">
        <f aca="false">IF(K225&gt;=90,"Highly Satisfied",IF(K225&gt;=75,"Satisfied",IF(K225&gt;=60,"Neutral","Dissatisfied")))</f>
        <v>Dissatisfied</v>
      </c>
      <c r="R225" s="7" t="str">
        <f aca="false">UPPER(LEFT(TRIM(J225),1))&amp;LOWER(MID(TRIM(J225),2,100))</f>
        <v>Gold</v>
      </c>
      <c r="S225" s="7" t="str">
        <f aca="false">IF(I225="High","Positive",IF(I225="Medium","Neutral","Negative"))</f>
        <v>Negative</v>
      </c>
      <c r="T225" s="7" t="str">
        <f aca="false">IF(AND(E225&gt;=80000,H225&gt;=15),"Premium",IF(AND(E225&gt;=50000,H225&gt;=10),"Standard","Basic"))</f>
        <v>Standard</v>
      </c>
      <c r="U225" s="7" t="str">
        <f aca="false">IF(AND(F225&gt;=7,G225&gt;=7),"High Quality Experience","Review Needed")</f>
        <v>Review Needed</v>
      </c>
      <c r="V225" s="7" t="str">
        <f aca="false">IF(H225&gt;=10,"Repeat Buyer","Occasional Buyer")</f>
        <v>Repeat Buyer</v>
      </c>
      <c r="W225" s="7" t="str">
        <f aca="false">IF(AND(K225&lt;70,I225="Low"),"At Risk","Stable")</f>
        <v>At Risk</v>
      </c>
      <c r="X225" s="7" t="str">
        <f aca="false">IF(AND(K225&lt;75,I225="Low",J225="Bronze"),"Priority Followup","No Action")</f>
        <v>No Action</v>
      </c>
    </row>
    <row r="226" customFormat="false" ht="15" hidden="false" customHeight="false" outlineLevel="0" collapsed="false">
      <c r="A226" s="2" t="n">
        <v>224</v>
      </c>
      <c r="B226" s="2" t="n">
        <v>66</v>
      </c>
      <c r="C226" s="2" t="s">
        <v>11</v>
      </c>
      <c r="D226" s="2" t="s">
        <v>12</v>
      </c>
      <c r="E226" s="2" t="n">
        <v>102757</v>
      </c>
      <c r="F226" s="2" t="n">
        <v>2</v>
      </c>
      <c r="G226" s="2" t="n">
        <v>7</v>
      </c>
      <c r="H226" s="2" t="n">
        <v>13</v>
      </c>
      <c r="I226" s="2" t="s">
        <v>13</v>
      </c>
      <c r="J226" s="2" t="s">
        <v>14</v>
      </c>
      <c r="K226" s="2" t="n">
        <v>95.66</v>
      </c>
      <c r="L226" s="8" t="str">
        <f aca="false">IF(B226&lt;25,"Gen Z",IF(B226&lt;40,"Millennial",IF(B226&lt;55,"Gen X","Baby Boomer")))</f>
        <v>Baby Boomer</v>
      </c>
      <c r="M226" s="8" t="str">
        <f aca="false">IF(E226&lt;50000,"Low Income",IF(E226&lt;80000,"Middle Income",IF(E226&lt;100000,"Upper Middle","High Income")))</f>
        <v>High Income</v>
      </c>
      <c r="N226" s="8" t="str">
        <f aca="false">IF(F226&lt;=3,"Poor",IF(F226&lt;=6,"Average",IF(F226&lt;=8,"Good","Excellent")))</f>
        <v>Poor</v>
      </c>
      <c r="O226" s="8" t="str">
        <f aca="false">IF(G226&lt;=3,"Poor",IF(G226&lt;=6,"Average",IF(G226&lt;=8,"Good","Excellent")))</f>
        <v>Good</v>
      </c>
      <c r="P226" s="8" t="str">
        <f aca="false">IF(H226&lt;=5,"Low Frequency",IF(H226&lt;=10,"Moderate",IF(H226&lt;=15,"High","Very High")))</f>
        <v>High</v>
      </c>
      <c r="Q226" s="8" t="str">
        <f aca="false">IF(K226&gt;=90,"Highly Satisfied",IF(K226&gt;=75,"Satisfied",IF(K226&gt;=60,"Neutral","Dissatisfied")))</f>
        <v>Highly Satisfied</v>
      </c>
      <c r="R226" s="8" t="str">
        <f aca="false">UPPER(LEFT(TRIM(J226),1))&amp;LOWER(MID(TRIM(J226),2,100))</f>
        <v>Bronze</v>
      </c>
      <c r="S226" s="8" t="str">
        <f aca="false">IF(I226="High","Positive",IF(I226="Medium","Neutral","Negative"))</f>
        <v>Negative</v>
      </c>
      <c r="T226" s="8" t="str">
        <f aca="false">IF(AND(E226&gt;=80000,H226&gt;=15),"Premium",IF(AND(E226&gt;=50000,H226&gt;=10),"Standard","Basic"))</f>
        <v>Standard</v>
      </c>
      <c r="U226" s="8" t="str">
        <f aca="false">IF(AND(F226&gt;=7,G226&gt;=7),"High Quality Experience","Review Needed")</f>
        <v>Review Needed</v>
      </c>
      <c r="V226" s="8" t="str">
        <f aca="false">IF(H226&gt;=10,"Repeat Buyer","Occasional Buyer")</f>
        <v>Repeat Buyer</v>
      </c>
      <c r="W226" s="8" t="str">
        <f aca="false">IF(AND(K226&lt;70,I226="Low"),"At Risk","Stable")</f>
        <v>Stable</v>
      </c>
      <c r="X226" s="8" t="str">
        <f aca="false">IF(AND(K226&lt;75,I226="Low",J226="Bronze"),"Priority Followup","No Action")</f>
        <v>No Action</v>
      </c>
    </row>
    <row r="227" customFormat="false" ht="15" hidden="false" customHeight="false" outlineLevel="0" collapsed="false">
      <c r="A227" s="3" t="n">
        <v>225</v>
      </c>
      <c r="B227" s="3" t="n">
        <v>54</v>
      </c>
      <c r="C227" s="3" t="s">
        <v>17</v>
      </c>
      <c r="D227" s="3" t="s">
        <v>18</v>
      </c>
      <c r="E227" s="3" t="n">
        <v>88958</v>
      </c>
      <c r="F227" s="3" t="n">
        <v>3</v>
      </c>
      <c r="G227" s="3" t="n">
        <v>3</v>
      </c>
      <c r="H227" s="3" t="n">
        <v>12</v>
      </c>
      <c r="I227" s="3" t="s">
        <v>21</v>
      </c>
      <c r="J227" s="3" t="s">
        <v>19</v>
      </c>
      <c r="K227" s="3" t="n">
        <v>78.74</v>
      </c>
      <c r="L227" s="7" t="str">
        <f aca="false">IF(B227&lt;25,"Gen Z",IF(B227&lt;40,"Millennial",IF(B227&lt;55,"Gen X","Baby Boomer")))</f>
        <v>Gen X</v>
      </c>
      <c r="M227" s="7" t="str">
        <f aca="false">IF(E227&lt;50000,"Low Income",IF(E227&lt;80000,"Middle Income",IF(E227&lt;100000,"Upper Middle","High Income")))</f>
        <v>Upper Middle</v>
      </c>
      <c r="N227" s="7" t="str">
        <f aca="false">IF(F227&lt;=3,"Poor",IF(F227&lt;=6,"Average",IF(F227&lt;=8,"Good","Excellent")))</f>
        <v>Poor</v>
      </c>
      <c r="O227" s="7" t="str">
        <f aca="false">IF(G227&lt;=3,"Poor",IF(G227&lt;=6,"Average",IF(G227&lt;=8,"Good","Excellent")))</f>
        <v>Poor</v>
      </c>
      <c r="P227" s="7" t="str">
        <f aca="false">IF(H227&lt;=5,"Low Frequency",IF(H227&lt;=10,"Moderate",IF(H227&lt;=15,"High","Very High")))</f>
        <v>High</v>
      </c>
      <c r="Q227" s="7" t="str">
        <f aca="false">IF(K227&gt;=90,"Highly Satisfied",IF(K227&gt;=75,"Satisfied",IF(K227&gt;=60,"Neutral","Dissatisfied")))</f>
        <v>Satisfied</v>
      </c>
      <c r="R227" s="7" t="str">
        <f aca="false">UPPER(LEFT(TRIM(J227),1))&amp;LOWER(MID(TRIM(J227),2,100))</f>
        <v>Silver</v>
      </c>
      <c r="S227" s="7" t="str">
        <f aca="false">IF(I227="High","Positive",IF(I227="Medium","Neutral","Negative"))</f>
        <v>Positive</v>
      </c>
      <c r="T227" s="7" t="str">
        <f aca="false">IF(AND(E227&gt;=80000,H227&gt;=15),"Premium",IF(AND(E227&gt;=50000,H227&gt;=10),"Standard","Basic"))</f>
        <v>Standard</v>
      </c>
      <c r="U227" s="7" t="str">
        <f aca="false">IF(AND(F227&gt;=7,G227&gt;=7),"High Quality Experience","Review Needed")</f>
        <v>Review Needed</v>
      </c>
      <c r="V227" s="7" t="str">
        <f aca="false">IF(H227&gt;=10,"Repeat Buyer","Occasional Buyer")</f>
        <v>Repeat Buyer</v>
      </c>
      <c r="W227" s="7" t="str">
        <f aca="false">IF(AND(K227&lt;70,I227="Low"),"At Risk","Stable")</f>
        <v>Stable</v>
      </c>
      <c r="X227" s="7" t="str">
        <f aca="false">IF(AND(K227&lt;75,I227="Low",J227="Bronze"),"Priority Followup","No Action")</f>
        <v>No Action</v>
      </c>
    </row>
    <row r="228" customFormat="false" ht="15" hidden="false" customHeight="false" outlineLevel="0" collapsed="false">
      <c r="A228" s="2" t="n">
        <v>226</v>
      </c>
      <c r="B228" s="2" t="n">
        <v>66</v>
      </c>
      <c r="C228" s="2" t="s">
        <v>17</v>
      </c>
      <c r="D228" s="2" t="s">
        <v>23</v>
      </c>
      <c r="E228" s="2" t="n">
        <v>111710</v>
      </c>
      <c r="F228" s="2" t="n">
        <v>4</v>
      </c>
      <c r="G228" s="2" t="n">
        <v>3</v>
      </c>
      <c r="H228" s="2" t="n">
        <v>13</v>
      </c>
      <c r="I228" s="2" t="s">
        <v>21</v>
      </c>
      <c r="J228" s="2" t="s">
        <v>14</v>
      </c>
      <c r="K228" s="2" t="n">
        <v>90</v>
      </c>
      <c r="L228" s="8" t="str">
        <f aca="false">IF(B228&lt;25,"Gen Z",IF(B228&lt;40,"Millennial",IF(B228&lt;55,"Gen X","Baby Boomer")))</f>
        <v>Baby Boomer</v>
      </c>
      <c r="M228" s="8" t="str">
        <f aca="false">IF(E228&lt;50000,"Low Income",IF(E228&lt;80000,"Middle Income",IF(E228&lt;100000,"Upper Middle","High Income")))</f>
        <v>High Income</v>
      </c>
      <c r="N228" s="8" t="str">
        <f aca="false">IF(F228&lt;=3,"Poor",IF(F228&lt;=6,"Average",IF(F228&lt;=8,"Good","Excellent")))</f>
        <v>Average</v>
      </c>
      <c r="O228" s="8" t="str">
        <f aca="false">IF(G228&lt;=3,"Poor",IF(G228&lt;=6,"Average",IF(G228&lt;=8,"Good","Excellent")))</f>
        <v>Poor</v>
      </c>
      <c r="P228" s="8" t="str">
        <f aca="false">IF(H228&lt;=5,"Low Frequency",IF(H228&lt;=10,"Moderate",IF(H228&lt;=15,"High","Very High")))</f>
        <v>High</v>
      </c>
      <c r="Q228" s="8" t="str">
        <f aca="false">IF(K228&gt;=90,"Highly Satisfied",IF(K228&gt;=75,"Satisfied",IF(K228&gt;=60,"Neutral","Dissatisfied")))</f>
        <v>Highly Satisfied</v>
      </c>
      <c r="R228" s="8" t="str">
        <f aca="false">UPPER(LEFT(TRIM(J228),1))&amp;LOWER(MID(TRIM(J228),2,100))</f>
        <v>Bronze</v>
      </c>
      <c r="S228" s="8" t="str">
        <f aca="false">IF(I228="High","Positive",IF(I228="Medium","Neutral","Negative"))</f>
        <v>Positive</v>
      </c>
      <c r="T228" s="8" t="str">
        <f aca="false">IF(AND(E228&gt;=80000,H228&gt;=15),"Premium",IF(AND(E228&gt;=50000,H228&gt;=10),"Standard","Basic"))</f>
        <v>Standard</v>
      </c>
      <c r="U228" s="8" t="str">
        <f aca="false">IF(AND(F228&gt;=7,G228&gt;=7),"High Quality Experience","Review Needed")</f>
        <v>Review Needed</v>
      </c>
      <c r="V228" s="8" t="str">
        <f aca="false">IF(H228&gt;=10,"Repeat Buyer","Occasional Buyer")</f>
        <v>Repeat Buyer</v>
      </c>
      <c r="W228" s="8" t="str">
        <f aca="false">IF(AND(K228&lt;70,I228="Low"),"At Risk","Stable")</f>
        <v>Stable</v>
      </c>
      <c r="X228" s="8" t="str">
        <f aca="false">IF(AND(K228&lt;75,I228="Low",J228="Bronze"),"Priority Followup","No Action")</f>
        <v>No Action</v>
      </c>
    </row>
    <row r="229" customFormat="false" ht="15" hidden="false" customHeight="false" outlineLevel="0" collapsed="false">
      <c r="A229" s="3" t="n">
        <v>227</v>
      </c>
      <c r="B229" s="3" t="n">
        <v>34</v>
      </c>
      <c r="C229" s="3" t="s">
        <v>11</v>
      </c>
      <c r="D229" s="3" t="s">
        <v>23</v>
      </c>
      <c r="E229" s="3" t="n">
        <v>62927</v>
      </c>
      <c r="F229" s="3" t="n">
        <v>10</v>
      </c>
      <c r="G229" s="3" t="n">
        <v>6</v>
      </c>
      <c r="H229" s="3" t="n">
        <v>1</v>
      </c>
      <c r="I229" s="3" t="s">
        <v>21</v>
      </c>
      <c r="J229" s="3" t="s">
        <v>19</v>
      </c>
      <c r="K229" s="3" t="n">
        <v>100</v>
      </c>
      <c r="L229" s="7" t="str">
        <f aca="false">IF(B229&lt;25,"Gen Z",IF(B229&lt;40,"Millennial",IF(B229&lt;55,"Gen X","Baby Boomer")))</f>
        <v>Millennial</v>
      </c>
      <c r="M229" s="7" t="str">
        <f aca="false">IF(E229&lt;50000,"Low Income",IF(E229&lt;80000,"Middle Income",IF(E229&lt;100000,"Upper Middle","High Income")))</f>
        <v>Middle Income</v>
      </c>
      <c r="N229" s="7" t="str">
        <f aca="false">IF(F229&lt;=3,"Poor",IF(F229&lt;=6,"Average",IF(F229&lt;=8,"Good","Excellent")))</f>
        <v>Excellent</v>
      </c>
      <c r="O229" s="7" t="str">
        <f aca="false">IF(G229&lt;=3,"Poor",IF(G229&lt;=6,"Average",IF(G229&lt;=8,"Good","Excellent")))</f>
        <v>Average</v>
      </c>
      <c r="P229" s="7" t="str">
        <f aca="false">IF(H229&lt;=5,"Low Frequency",IF(H229&lt;=10,"Moderate",IF(H229&lt;=15,"High","Very High")))</f>
        <v>Low Frequency</v>
      </c>
      <c r="Q229" s="7" t="str">
        <f aca="false">IF(K229&gt;=90,"Highly Satisfied",IF(K229&gt;=75,"Satisfied",IF(K229&gt;=60,"Neutral","Dissatisfied")))</f>
        <v>Highly Satisfied</v>
      </c>
      <c r="R229" s="7" t="str">
        <f aca="false">UPPER(LEFT(TRIM(J229),1))&amp;LOWER(MID(TRIM(J229),2,100))</f>
        <v>Silver</v>
      </c>
      <c r="S229" s="7" t="str">
        <f aca="false">IF(I229="High","Positive",IF(I229="Medium","Neutral","Negative"))</f>
        <v>Positive</v>
      </c>
      <c r="T229" s="7" t="str">
        <f aca="false">IF(AND(E229&gt;=80000,H229&gt;=15),"Premium",IF(AND(E229&gt;=50000,H229&gt;=10),"Standard","Basic"))</f>
        <v>Basic</v>
      </c>
      <c r="U229" s="7" t="str">
        <f aca="false">IF(AND(F229&gt;=7,G229&gt;=7),"High Quality Experience","Review Needed")</f>
        <v>Review Needed</v>
      </c>
      <c r="V229" s="7" t="str">
        <f aca="false">IF(H229&gt;=10,"Repeat Buyer","Occasional Buyer")</f>
        <v>Occasional Buyer</v>
      </c>
      <c r="W229" s="7" t="str">
        <f aca="false">IF(AND(K229&lt;70,I229="Low"),"At Risk","Stable")</f>
        <v>Stable</v>
      </c>
      <c r="X229" s="7" t="str">
        <f aca="false">IF(AND(K229&lt;75,I229="Low",J229="Bronze"),"Priority Followup","No Action")</f>
        <v>No Action</v>
      </c>
    </row>
    <row r="230" customFormat="false" ht="15" hidden="false" customHeight="false" outlineLevel="0" collapsed="false">
      <c r="A230" s="2" t="n">
        <v>228</v>
      </c>
      <c r="B230" s="2" t="n">
        <v>66</v>
      </c>
      <c r="C230" s="2" t="s">
        <v>11</v>
      </c>
      <c r="D230" s="2" t="s">
        <v>12</v>
      </c>
      <c r="E230" s="2" t="n">
        <v>112314</v>
      </c>
      <c r="F230" s="2" t="n">
        <v>3</v>
      </c>
      <c r="G230" s="2" t="n">
        <v>9</v>
      </c>
      <c r="H230" s="2" t="n">
        <v>12</v>
      </c>
      <c r="I230" s="2" t="s">
        <v>15</v>
      </c>
      <c r="J230" s="2" t="s">
        <v>14</v>
      </c>
      <c r="K230" s="2" t="n">
        <v>100</v>
      </c>
      <c r="L230" s="8" t="str">
        <f aca="false">IF(B230&lt;25,"Gen Z",IF(B230&lt;40,"Millennial",IF(B230&lt;55,"Gen X","Baby Boomer")))</f>
        <v>Baby Boomer</v>
      </c>
      <c r="M230" s="8" t="str">
        <f aca="false">IF(E230&lt;50000,"Low Income",IF(E230&lt;80000,"Middle Income",IF(E230&lt;100000,"Upper Middle","High Income")))</f>
        <v>High Income</v>
      </c>
      <c r="N230" s="8" t="str">
        <f aca="false">IF(F230&lt;=3,"Poor",IF(F230&lt;=6,"Average",IF(F230&lt;=8,"Good","Excellent")))</f>
        <v>Poor</v>
      </c>
      <c r="O230" s="8" t="str">
        <f aca="false">IF(G230&lt;=3,"Poor",IF(G230&lt;=6,"Average",IF(G230&lt;=8,"Good","Excellent")))</f>
        <v>Excellent</v>
      </c>
      <c r="P230" s="8" t="str">
        <f aca="false">IF(H230&lt;=5,"Low Frequency",IF(H230&lt;=10,"Moderate",IF(H230&lt;=15,"High","Very High")))</f>
        <v>High</v>
      </c>
      <c r="Q230" s="8" t="str">
        <f aca="false">IF(K230&gt;=90,"Highly Satisfied",IF(K230&gt;=75,"Satisfied",IF(K230&gt;=60,"Neutral","Dissatisfied")))</f>
        <v>Highly Satisfied</v>
      </c>
      <c r="R230" s="8" t="str">
        <f aca="false">UPPER(LEFT(TRIM(J230),1))&amp;LOWER(MID(TRIM(J230),2,100))</f>
        <v>Bronze</v>
      </c>
      <c r="S230" s="8" t="str">
        <f aca="false">IF(I230="High","Positive",IF(I230="Medium","Neutral","Negative"))</f>
        <v>Neutral</v>
      </c>
      <c r="T230" s="8" t="str">
        <f aca="false">IF(AND(E230&gt;=80000,H230&gt;=15),"Premium",IF(AND(E230&gt;=50000,H230&gt;=10),"Standard","Basic"))</f>
        <v>Standard</v>
      </c>
      <c r="U230" s="8" t="str">
        <f aca="false">IF(AND(F230&gt;=7,G230&gt;=7),"High Quality Experience","Review Needed")</f>
        <v>Review Needed</v>
      </c>
      <c r="V230" s="8" t="str">
        <f aca="false">IF(H230&gt;=10,"Repeat Buyer","Occasional Buyer")</f>
        <v>Repeat Buyer</v>
      </c>
      <c r="W230" s="8" t="str">
        <f aca="false">IF(AND(K230&lt;70,I230="Low"),"At Risk","Stable")</f>
        <v>Stable</v>
      </c>
      <c r="X230" s="8" t="str">
        <f aca="false">IF(AND(K230&lt;75,I230="Low",J230="Bronze"),"Priority Followup","No Action")</f>
        <v>No Action</v>
      </c>
    </row>
    <row r="231" customFormat="false" ht="15" hidden="false" customHeight="false" outlineLevel="0" collapsed="false">
      <c r="A231" s="3" t="n">
        <v>229</v>
      </c>
      <c r="B231" s="3" t="n">
        <v>19</v>
      </c>
      <c r="C231" s="3" t="s">
        <v>17</v>
      </c>
      <c r="D231" s="3" t="s">
        <v>23</v>
      </c>
      <c r="E231" s="3" t="n">
        <v>116859</v>
      </c>
      <c r="F231" s="3" t="n">
        <v>2</v>
      </c>
      <c r="G231" s="3" t="n">
        <v>2</v>
      </c>
      <c r="H231" s="3" t="n">
        <v>11</v>
      </c>
      <c r="I231" s="3" t="s">
        <v>15</v>
      </c>
      <c r="J231" s="3" t="s">
        <v>19</v>
      </c>
      <c r="K231" s="3" t="n">
        <v>54.35</v>
      </c>
      <c r="L231" s="7" t="str">
        <f aca="false">IF(B231&lt;25,"Gen Z",IF(B231&lt;40,"Millennial",IF(B231&lt;55,"Gen X","Baby Boomer")))</f>
        <v>Gen Z</v>
      </c>
      <c r="M231" s="7" t="str">
        <f aca="false">IF(E231&lt;50000,"Low Income",IF(E231&lt;80000,"Middle Income",IF(E231&lt;100000,"Upper Middle","High Income")))</f>
        <v>High Income</v>
      </c>
      <c r="N231" s="7" t="str">
        <f aca="false">IF(F231&lt;=3,"Poor",IF(F231&lt;=6,"Average",IF(F231&lt;=8,"Good","Excellent")))</f>
        <v>Poor</v>
      </c>
      <c r="O231" s="7" t="str">
        <f aca="false">IF(G231&lt;=3,"Poor",IF(G231&lt;=6,"Average",IF(G231&lt;=8,"Good","Excellent")))</f>
        <v>Poor</v>
      </c>
      <c r="P231" s="7" t="str">
        <f aca="false">IF(H231&lt;=5,"Low Frequency",IF(H231&lt;=10,"Moderate",IF(H231&lt;=15,"High","Very High")))</f>
        <v>High</v>
      </c>
      <c r="Q231" s="7" t="str">
        <f aca="false">IF(K231&gt;=90,"Highly Satisfied",IF(K231&gt;=75,"Satisfied",IF(K231&gt;=60,"Neutral","Dissatisfied")))</f>
        <v>Dissatisfied</v>
      </c>
      <c r="R231" s="7" t="str">
        <f aca="false">UPPER(LEFT(TRIM(J231),1))&amp;LOWER(MID(TRIM(J231),2,100))</f>
        <v>Silver</v>
      </c>
      <c r="S231" s="7" t="str">
        <f aca="false">IF(I231="High","Positive",IF(I231="Medium","Neutral","Negative"))</f>
        <v>Neutral</v>
      </c>
      <c r="T231" s="7" t="str">
        <f aca="false">IF(AND(E231&gt;=80000,H231&gt;=15),"Premium",IF(AND(E231&gt;=50000,H231&gt;=10),"Standard","Basic"))</f>
        <v>Standard</v>
      </c>
      <c r="U231" s="7" t="str">
        <f aca="false">IF(AND(F231&gt;=7,G231&gt;=7),"High Quality Experience","Review Needed")</f>
        <v>Review Needed</v>
      </c>
      <c r="V231" s="7" t="str">
        <f aca="false">IF(H231&gt;=10,"Repeat Buyer","Occasional Buyer")</f>
        <v>Repeat Buyer</v>
      </c>
      <c r="W231" s="7" t="str">
        <f aca="false">IF(AND(K231&lt;70,I231="Low"),"At Risk","Stable")</f>
        <v>Stable</v>
      </c>
      <c r="X231" s="7" t="str">
        <f aca="false">IF(AND(K231&lt;75,I231="Low",J231="Bronze"),"Priority Followup","No Action")</f>
        <v>No Action</v>
      </c>
    </row>
    <row r="232" customFormat="false" ht="15" hidden="false" customHeight="false" outlineLevel="0" collapsed="false">
      <c r="A232" s="2" t="n">
        <v>230</v>
      </c>
      <c r="B232" s="2" t="n">
        <v>19</v>
      </c>
      <c r="C232" s="2" t="s">
        <v>11</v>
      </c>
      <c r="D232" s="2" t="s">
        <v>20</v>
      </c>
      <c r="E232" s="2" t="n">
        <v>81058</v>
      </c>
      <c r="F232" s="2" t="n">
        <v>6</v>
      </c>
      <c r="G232" s="2" t="n">
        <v>6</v>
      </c>
      <c r="H232" s="2" t="n">
        <v>19</v>
      </c>
      <c r="I232" s="2" t="s">
        <v>21</v>
      </c>
      <c r="J232" s="2" t="s">
        <v>19</v>
      </c>
      <c r="K232" s="2" t="n">
        <v>92.79</v>
      </c>
      <c r="L232" s="8" t="str">
        <f aca="false">IF(B232&lt;25,"Gen Z",IF(B232&lt;40,"Millennial",IF(B232&lt;55,"Gen X","Baby Boomer")))</f>
        <v>Gen Z</v>
      </c>
      <c r="M232" s="8" t="str">
        <f aca="false">IF(E232&lt;50000,"Low Income",IF(E232&lt;80000,"Middle Income",IF(E232&lt;100000,"Upper Middle","High Income")))</f>
        <v>Upper Middle</v>
      </c>
      <c r="N232" s="8" t="str">
        <f aca="false">IF(F232&lt;=3,"Poor",IF(F232&lt;=6,"Average",IF(F232&lt;=8,"Good","Excellent")))</f>
        <v>Average</v>
      </c>
      <c r="O232" s="8" t="str">
        <f aca="false">IF(G232&lt;=3,"Poor",IF(G232&lt;=6,"Average",IF(G232&lt;=8,"Good","Excellent")))</f>
        <v>Average</v>
      </c>
      <c r="P232" s="8" t="str">
        <f aca="false">IF(H232&lt;=5,"Low Frequency",IF(H232&lt;=10,"Moderate",IF(H232&lt;=15,"High","Very High")))</f>
        <v>Very High</v>
      </c>
      <c r="Q232" s="8" t="str">
        <f aca="false">IF(K232&gt;=90,"Highly Satisfied",IF(K232&gt;=75,"Satisfied",IF(K232&gt;=60,"Neutral","Dissatisfied")))</f>
        <v>Highly Satisfied</v>
      </c>
      <c r="R232" s="8" t="str">
        <f aca="false">UPPER(LEFT(TRIM(J232),1))&amp;LOWER(MID(TRIM(J232),2,100))</f>
        <v>Silver</v>
      </c>
      <c r="S232" s="8" t="str">
        <f aca="false">IF(I232="High","Positive",IF(I232="Medium","Neutral","Negative"))</f>
        <v>Positive</v>
      </c>
      <c r="T232" s="8" t="str">
        <f aca="false">IF(AND(E232&gt;=80000,H232&gt;=15),"Premium",IF(AND(E232&gt;=50000,H232&gt;=10),"Standard","Basic"))</f>
        <v>Premium</v>
      </c>
      <c r="U232" s="8" t="str">
        <f aca="false">IF(AND(F232&gt;=7,G232&gt;=7),"High Quality Experience","Review Needed")</f>
        <v>Review Needed</v>
      </c>
      <c r="V232" s="8" t="str">
        <f aca="false">IF(H232&gt;=10,"Repeat Buyer","Occasional Buyer")</f>
        <v>Repeat Buyer</v>
      </c>
      <c r="W232" s="8" t="str">
        <f aca="false">IF(AND(K232&lt;70,I232="Low"),"At Risk","Stable")</f>
        <v>Stable</v>
      </c>
      <c r="X232" s="8" t="str">
        <f aca="false">IF(AND(K232&lt;75,I232="Low",J232="Bronze"),"Priority Followup","No Action")</f>
        <v>No Action</v>
      </c>
    </row>
    <row r="233" customFormat="false" ht="15" hidden="false" customHeight="false" outlineLevel="0" collapsed="false">
      <c r="A233" s="3" t="n">
        <v>231</v>
      </c>
      <c r="B233" s="3" t="n">
        <v>45</v>
      </c>
      <c r="C233" s="3" t="s">
        <v>11</v>
      </c>
      <c r="D233" s="3" t="s">
        <v>22</v>
      </c>
      <c r="E233" s="3" t="n">
        <v>48802</v>
      </c>
      <c r="F233" s="3" t="n">
        <v>1</v>
      </c>
      <c r="G233" s="3" t="n">
        <v>10</v>
      </c>
      <c r="H233" s="3" t="n">
        <v>5</v>
      </c>
      <c r="I233" s="3" t="s">
        <v>15</v>
      </c>
      <c r="J233" s="3" t="s">
        <v>16</v>
      </c>
      <c r="K233" s="3" t="n">
        <v>82.12</v>
      </c>
      <c r="L233" s="7" t="str">
        <f aca="false">IF(B233&lt;25,"Gen Z",IF(B233&lt;40,"Millennial",IF(B233&lt;55,"Gen X","Baby Boomer")))</f>
        <v>Gen X</v>
      </c>
      <c r="M233" s="7" t="str">
        <f aca="false">IF(E233&lt;50000,"Low Income",IF(E233&lt;80000,"Middle Income",IF(E233&lt;100000,"Upper Middle","High Income")))</f>
        <v>Low Income</v>
      </c>
      <c r="N233" s="7" t="str">
        <f aca="false">IF(F233&lt;=3,"Poor",IF(F233&lt;=6,"Average",IF(F233&lt;=8,"Good","Excellent")))</f>
        <v>Poor</v>
      </c>
      <c r="O233" s="7" t="str">
        <f aca="false">IF(G233&lt;=3,"Poor",IF(G233&lt;=6,"Average",IF(G233&lt;=8,"Good","Excellent")))</f>
        <v>Excellent</v>
      </c>
      <c r="P233" s="7" t="str">
        <f aca="false">IF(H233&lt;=5,"Low Frequency",IF(H233&lt;=10,"Moderate",IF(H233&lt;=15,"High","Very High")))</f>
        <v>Low Frequency</v>
      </c>
      <c r="Q233" s="7" t="str">
        <f aca="false">IF(K233&gt;=90,"Highly Satisfied",IF(K233&gt;=75,"Satisfied",IF(K233&gt;=60,"Neutral","Dissatisfied")))</f>
        <v>Satisfied</v>
      </c>
      <c r="R233" s="7" t="str">
        <f aca="false">UPPER(LEFT(TRIM(J233),1))&amp;LOWER(MID(TRIM(J233),2,100))</f>
        <v>Gold</v>
      </c>
      <c r="S233" s="7" t="str">
        <f aca="false">IF(I233="High","Positive",IF(I233="Medium","Neutral","Negative"))</f>
        <v>Neutral</v>
      </c>
      <c r="T233" s="7" t="str">
        <f aca="false">IF(AND(E233&gt;=80000,H233&gt;=15),"Premium",IF(AND(E233&gt;=50000,H233&gt;=10),"Standard","Basic"))</f>
        <v>Basic</v>
      </c>
      <c r="U233" s="7" t="str">
        <f aca="false">IF(AND(F233&gt;=7,G233&gt;=7),"High Quality Experience","Review Needed")</f>
        <v>Review Needed</v>
      </c>
      <c r="V233" s="7" t="str">
        <f aca="false">IF(H233&gt;=10,"Repeat Buyer","Occasional Buyer")</f>
        <v>Occasional Buyer</v>
      </c>
      <c r="W233" s="7" t="str">
        <f aca="false">IF(AND(K233&lt;70,I233="Low"),"At Risk","Stable")</f>
        <v>Stable</v>
      </c>
      <c r="X233" s="7" t="str">
        <f aca="false">IF(AND(K233&lt;75,I233="Low",J233="Bronze"),"Priority Followup","No Action")</f>
        <v>No Action</v>
      </c>
    </row>
    <row r="234" customFormat="false" ht="15" hidden="false" customHeight="false" outlineLevel="0" collapsed="false">
      <c r="A234" s="2" t="n">
        <v>232</v>
      </c>
      <c r="B234" s="2" t="n">
        <v>40</v>
      </c>
      <c r="C234" s="2" t="s">
        <v>11</v>
      </c>
      <c r="D234" s="2" t="s">
        <v>22</v>
      </c>
      <c r="E234" s="2" t="n">
        <v>59862</v>
      </c>
      <c r="F234" s="2" t="n">
        <v>8</v>
      </c>
      <c r="G234" s="2" t="n">
        <v>5</v>
      </c>
      <c r="H234" s="2" t="n">
        <v>16</v>
      </c>
      <c r="I234" s="2" t="s">
        <v>13</v>
      </c>
      <c r="J234" s="2" t="s">
        <v>14</v>
      </c>
      <c r="K234" s="2" t="n">
        <v>90.61</v>
      </c>
      <c r="L234" s="8" t="str">
        <f aca="false">IF(B234&lt;25,"Gen Z",IF(B234&lt;40,"Millennial",IF(B234&lt;55,"Gen X","Baby Boomer")))</f>
        <v>Gen X</v>
      </c>
      <c r="M234" s="8" t="str">
        <f aca="false">IF(E234&lt;50000,"Low Income",IF(E234&lt;80000,"Middle Income",IF(E234&lt;100000,"Upper Middle","High Income")))</f>
        <v>Middle Income</v>
      </c>
      <c r="N234" s="8" t="str">
        <f aca="false">IF(F234&lt;=3,"Poor",IF(F234&lt;=6,"Average",IF(F234&lt;=8,"Good","Excellent")))</f>
        <v>Good</v>
      </c>
      <c r="O234" s="8" t="str">
        <f aca="false">IF(G234&lt;=3,"Poor",IF(G234&lt;=6,"Average",IF(G234&lt;=8,"Good","Excellent")))</f>
        <v>Average</v>
      </c>
      <c r="P234" s="8" t="str">
        <f aca="false">IF(H234&lt;=5,"Low Frequency",IF(H234&lt;=10,"Moderate",IF(H234&lt;=15,"High","Very High")))</f>
        <v>Very High</v>
      </c>
      <c r="Q234" s="8" t="str">
        <f aca="false">IF(K234&gt;=90,"Highly Satisfied",IF(K234&gt;=75,"Satisfied",IF(K234&gt;=60,"Neutral","Dissatisfied")))</f>
        <v>Highly Satisfied</v>
      </c>
      <c r="R234" s="8" t="str">
        <f aca="false">UPPER(LEFT(TRIM(J234),1))&amp;LOWER(MID(TRIM(J234),2,100))</f>
        <v>Bronze</v>
      </c>
      <c r="S234" s="8" t="str">
        <f aca="false">IF(I234="High","Positive",IF(I234="Medium","Neutral","Negative"))</f>
        <v>Negative</v>
      </c>
      <c r="T234" s="8" t="str">
        <f aca="false">IF(AND(E234&gt;=80000,H234&gt;=15),"Premium",IF(AND(E234&gt;=50000,H234&gt;=10),"Standard","Basic"))</f>
        <v>Standard</v>
      </c>
      <c r="U234" s="8" t="str">
        <f aca="false">IF(AND(F234&gt;=7,G234&gt;=7),"High Quality Experience","Review Needed")</f>
        <v>Review Needed</v>
      </c>
      <c r="V234" s="8" t="str">
        <f aca="false">IF(H234&gt;=10,"Repeat Buyer","Occasional Buyer")</f>
        <v>Repeat Buyer</v>
      </c>
      <c r="W234" s="8" t="str">
        <f aca="false">IF(AND(K234&lt;70,I234="Low"),"At Risk","Stable")</f>
        <v>Stable</v>
      </c>
      <c r="X234" s="8" t="str">
        <f aca="false">IF(AND(K234&lt;75,I234="Low",J234="Bronze"),"Priority Followup","No Action")</f>
        <v>No Action</v>
      </c>
    </row>
    <row r="235" customFormat="false" ht="15" hidden="false" customHeight="false" outlineLevel="0" collapsed="false">
      <c r="A235" s="3" t="n">
        <v>233</v>
      </c>
      <c r="B235" s="3" t="n">
        <v>54</v>
      </c>
      <c r="C235" s="3" t="s">
        <v>11</v>
      </c>
      <c r="D235" s="3" t="s">
        <v>23</v>
      </c>
      <c r="E235" s="3" t="n">
        <v>39971</v>
      </c>
      <c r="F235" s="3" t="n">
        <v>1</v>
      </c>
      <c r="G235" s="3" t="n">
        <v>4</v>
      </c>
      <c r="H235" s="3" t="n">
        <v>17</v>
      </c>
      <c r="I235" s="3" t="s">
        <v>21</v>
      </c>
      <c r="J235" s="3" t="s">
        <v>19</v>
      </c>
      <c r="K235" s="3" t="n">
        <v>68.62</v>
      </c>
      <c r="L235" s="7" t="str">
        <f aca="false">IF(B235&lt;25,"Gen Z",IF(B235&lt;40,"Millennial",IF(B235&lt;55,"Gen X","Baby Boomer")))</f>
        <v>Gen X</v>
      </c>
      <c r="M235" s="7" t="str">
        <f aca="false">IF(E235&lt;50000,"Low Income",IF(E235&lt;80000,"Middle Income",IF(E235&lt;100000,"Upper Middle","High Income")))</f>
        <v>Low Income</v>
      </c>
      <c r="N235" s="7" t="str">
        <f aca="false">IF(F235&lt;=3,"Poor",IF(F235&lt;=6,"Average",IF(F235&lt;=8,"Good","Excellent")))</f>
        <v>Poor</v>
      </c>
      <c r="O235" s="7" t="str">
        <f aca="false">IF(G235&lt;=3,"Poor",IF(G235&lt;=6,"Average",IF(G235&lt;=8,"Good","Excellent")))</f>
        <v>Average</v>
      </c>
      <c r="P235" s="7" t="str">
        <f aca="false">IF(H235&lt;=5,"Low Frequency",IF(H235&lt;=10,"Moderate",IF(H235&lt;=15,"High","Very High")))</f>
        <v>Very High</v>
      </c>
      <c r="Q235" s="7" t="str">
        <f aca="false">IF(K235&gt;=90,"Highly Satisfied",IF(K235&gt;=75,"Satisfied",IF(K235&gt;=60,"Neutral","Dissatisfied")))</f>
        <v>Neutral</v>
      </c>
      <c r="R235" s="7" t="str">
        <f aca="false">UPPER(LEFT(TRIM(J235),1))&amp;LOWER(MID(TRIM(J235),2,100))</f>
        <v>Silver</v>
      </c>
      <c r="S235" s="7" t="str">
        <f aca="false">IF(I235="High","Positive",IF(I235="Medium","Neutral","Negative"))</f>
        <v>Positive</v>
      </c>
      <c r="T235" s="7" t="str">
        <f aca="false">IF(AND(E235&gt;=80000,H235&gt;=15),"Premium",IF(AND(E235&gt;=50000,H235&gt;=10),"Standard","Basic"))</f>
        <v>Basic</v>
      </c>
      <c r="U235" s="7" t="str">
        <f aca="false">IF(AND(F235&gt;=7,G235&gt;=7),"High Quality Experience","Review Needed")</f>
        <v>Review Needed</v>
      </c>
      <c r="V235" s="7" t="str">
        <f aca="false">IF(H235&gt;=10,"Repeat Buyer","Occasional Buyer")</f>
        <v>Repeat Buyer</v>
      </c>
      <c r="W235" s="7" t="str">
        <f aca="false">IF(AND(K235&lt;70,I235="Low"),"At Risk","Stable")</f>
        <v>Stable</v>
      </c>
      <c r="X235" s="7" t="str">
        <f aca="false">IF(AND(K235&lt;75,I235="Low",J235="Bronze"),"Priority Followup","No Action")</f>
        <v>No Action</v>
      </c>
    </row>
    <row r="236" customFormat="false" ht="15" hidden="false" customHeight="false" outlineLevel="0" collapsed="false">
      <c r="A236" s="2" t="n">
        <v>234</v>
      </c>
      <c r="B236" s="2" t="n">
        <v>49</v>
      </c>
      <c r="C236" s="2" t="s">
        <v>11</v>
      </c>
      <c r="D236" s="2" t="s">
        <v>23</v>
      </c>
      <c r="E236" s="2" t="n">
        <v>87032</v>
      </c>
      <c r="F236" s="2" t="n">
        <v>10</v>
      </c>
      <c r="G236" s="2" t="n">
        <v>10</v>
      </c>
      <c r="H236" s="2" t="n">
        <v>3</v>
      </c>
      <c r="I236" s="2" t="s">
        <v>21</v>
      </c>
      <c r="J236" s="2" t="s">
        <v>14</v>
      </c>
      <c r="K236" s="2" t="n">
        <v>100</v>
      </c>
      <c r="L236" s="8" t="str">
        <f aca="false">IF(B236&lt;25,"Gen Z",IF(B236&lt;40,"Millennial",IF(B236&lt;55,"Gen X","Baby Boomer")))</f>
        <v>Gen X</v>
      </c>
      <c r="M236" s="8" t="str">
        <f aca="false">IF(E236&lt;50000,"Low Income",IF(E236&lt;80000,"Middle Income",IF(E236&lt;100000,"Upper Middle","High Income")))</f>
        <v>Upper Middle</v>
      </c>
      <c r="N236" s="8" t="str">
        <f aca="false">IF(F236&lt;=3,"Poor",IF(F236&lt;=6,"Average",IF(F236&lt;=8,"Good","Excellent")))</f>
        <v>Excellent</v>
      </c>
      <c r="O236" s="8" t="str">
        <f aca="false">IF(G236&lt;=3,"Poor",IF(G236&lt;=6,"Average",IF(G236&lt;=8,"Good","Excellent")))</f>
        <v>Excellent</v>
      </c>
      <c r="P236" s="8" t="str">
        <f aca="false">IF(H236&lt;=5,"Low Frequency",IF(H236&lt;=10,"Moderate",IF(H236&lt;=15,"High","Very High")))</f>
        <v>Low Frequency</v>
      </c>
      <c r="Q236" s="8" t="str">
        <f aca="false">IF(K236&gt;=90,"Highly Satisfied",IF(K236&gt;=75,"Satisfied",IF(K236&gt;=60,"Neutral","Dissatisfied")))</f>
        <v>Highly Satisfied</v>
      </c>
      <c r="R236" s="8" t="str">
        <f aca="false">UPPER(LEFT(TRIM(J236),1))&amp;LOWER(MID(TRIM(J236),2,100))</f>
        <v>Bronze</v>
      </c>
      <c r="S236" s="8" t="str">
        <f aca="false">IF(I236="High","Positive",IF(I236="Medium","Neutral","Negative"))</f>
        <v>Positive</v>
      </c>
      <c r="T236" s="8" t="str">
        <f aca="false">IF(AND(E236&gt;=80000,H236&gt;=15),"Premium",IF(AND(E236&gt;=50000,H236&gt;=10),"Standard","Basic"))</f>
        <v>Basic</v>
      </c>
      <c r="U236" s="8" t="str">
        <f aca="false">IF(AND(F236&gt;=7,G236&gt;=7),"High Quality Experience","Review Needed")</f>
        <v>High Quality Experience</v>
      </c>
      <c r="V236" s="8" t="str">
        <f aca="false">IF(H236&gt;=10,"Repeat Buyer","Occasional Buyer")</f>
        <v>Occasional Buyer</v>
      </c>
      <c r="W236" s="8" t="str">
        <f aca="false">IF(AND(K236&lt;70,I236="Low"),"At Risk","Stable")</f>
        <v>Stable</v>
      </c>
      <c r="X236" s="8" t="str">
        <f aca="false">IF(AND(K236&lt;75,I236="Low",J236="Bronze"),"Priority Followup","No Action")</f>
        <v>No Action</v>
      </c>
    </row>
    <row r="237" customFormat="false" ht="15" hidden="false" customHeight="false" outlineLevel="0" collapsed="false">
      <c r="A237" s="3" t="n">
        <v>235</v>
      </c>
      <c r="B237" s="3" t="n">
        <v>50</v>
      </c>
      <c r="C237" s="3" t="s">
        <v>11</v>
      </c>
      <c r="D237" s="3" t="s">
        <v>23</v>
      </c>
      <c r="E237" s="3" t="n">
        <v>70729</v>
      </c>
      <c r="F237" s="3" t="n">
        <v>2</v>
      </c>
      <c r="G237" s="3" t="n">
        <v>10</v>
      </c>
      <c r="H237" s="3" t="n">
        <v>12</v>
      </c>
      <c r="I237" s="3" t="s">
        <v>15</v>
      </c>
      <c r="J237" s="3" t="s">
        <v>14</v>
      </c>
      <c r="K237" s="3" t="n">
        <v>100</v>
      </c>
      <c r="L237" s="7" t="str">
        <f aca="false">IF(B237&lt;25,"Gen Z",IF(B237&lt;40,"Millennial",IF(B237&lt;55,"Gen X","Baby Boomer")))</f>
        <v>Gen X</v>
      </c>
      <c r="M237" s="7" t="str">
        <f aca="false">IF(E237&lt;50000,"Low Income",IF(E237&lt;80000,"Middle Income",IF(E237&lt;100000,"Upper Middle","High Income")))</f>
        <v>Middle Income</v>
      </c>
      <c r="N237" s="7" t="str">
        <f aca="false">IF(F237&lt;=3,"Poor",IF(F237&lt;=6,"Average",IF(F237&lt;=8,"Good","Excellent")))</f>
        <v>Poor</v>
      </c>
      <c r="O237" s="7" t="str">
        <f aca="false">IF(G237&lt;=3,"Poor",IF(G237&lt;=6,"Average",IF(G237&lt;=8,"Good","Excellent")))</f>
        <v>Excellent</v>
      </c>
      <c r="P237" s="7" t="str">
        <f aca="false">IF(H237&lt;=5,"Low Frequency",IF(H237&lt;=10,"Moderate",IF(H237&lt;=15,"High","Very High")))</f>
        <v>High</v>
      </c>
      <c r="Q237" s="7" t="str">
        <f aca="false">IF(K237&gt;=90,"Highly Satisfied",IF(K237&gt;=75,"Satisfied",IF(K237&gt;=60,"Neutral","Dissatisfied")))</f>
        <v>Highly Satisfied</v>
      </c>
      <c r="R237" s="7" t="str">
        <f aca="false">UPPER(LEFT(TRIM(J237),1))&amp;LOWER(MID(TRIM(J237),2,100))</f>
        <v>Bronze</v>
      </c>
      <c r="S237" s="7" t="str">
        <f aca="false">IF(I237="High","Positive",IF(I237="Medium","Neutral","Negative"))</f>
        <v>Neutral</v>
      </c>
      <c r="T237" s="7" t="str">
        <f aca="false">IF(AND(E237&gt;=80000,H237&gt;=15),"Premium",IF(AND(E237&gt;=50000,H237&gt;=10),"Standard","Basic"))</f>
        <v>Standard</v>
      </c>
      <c r="U237" s="7" t="str">
        <f aca="false">IF(AND(F237&gt;=7,G237&gt;=7),"High Quality Experience","Review Needed")</f>
        <v>Review Needed</v>
      </c>
      <c r="V237" s="7" t="str">
        <f aca="false">IF(H237&gt;=10,"Repeat Buyer","Occasional Buyer")</f>
        <v>Repeat Buyer</v>
      </c>
      <c r="W237" s="7" t="str">
        <f aca="false">IF(AND(K237&lt;70,I237="Low"),"At Risk","Stable")</f>
        <v>Stable</v>
      </c>
      <c r="X237" s="7" t="str">
        <f aca="false">IF(AND(K237&lt;75,I237="Low",J237="Bronze"),"Priority Followup","No Action")</f>
        <v>No Action</v>
      </c>
    </row>
    <row r="238" customFormat="false" ht="15" hidden="false" customHeight="false" outlineLevel="0" collapsed="false">
      <c r="A238" s="2" t="n">
        <v>236</v>
      </c>
      <c r="B238" s="2" t="n">
        <v>18</v>
      </c>
      <c r="C238" s="2" t="s">
        <v>11</v>
      </c>
      <c r="D238" s="2" t="s">
        <v>22</v>
      </c>
      <c r="E238" s="2" t="n">
        <v>38515</v>
      </c>
      <c r="F238" s="2" t="n">
        <v>3</v>
      </c>
      <c r="G238" s="2" t="n">
        <v>2</v>
      </c>
      <c r="H238" s="2" t="n">
        <v>2</v>
      </c>
      <c r="I238" s="2" t="s">
        <v>21</v>
      </c>
      <c r="J238" s="2" t="s">
        <v>14</v>
      </c>
      <c r="K238" s="2" t="n">
        <v>38.9</v>
      </c>
      <c r="L238" s="8" t="str">
        <f aca="false">IF(B238&lt;25,"Gen Z",IF(B238&lt;40,"Millennial",IF(B238&lt;55,"Gen X","Baby Boomer")))</f>
        <v>Gen Z</v>
      </c>
      <c r="M238" s="8" t="str">
        <f aca="false">IF(E238&lt;50000,"Low Income",IF(E238&lt;80000,"Middle Income",IF(E238&lt;100000,"Upper Middle","High Income")))</f>
        <v>Low Income</v>
      </c>
      <c r="N238" s="8" t="str">
        <f aca="false">IF(F238&lt;=3,"Poor",IF(F238&lt;=6,"Average",IF(F238&lt;=8,"Good","Excellent")))</f>
        <v>Poor</v>
      </c>
      <c r="O238" s="8" t="str">
        <f aca="false">IF(G238&lt;=3,"Poor",IF(G238&lt;=6,"Average",IF(G238&lt;=8,"Good","Excellent")))</f>
        <v>Poor</v>
      </c>
      <c r="P238" s="8" t="str">
        <f aca="false">IF(H238&lt;=5,"Low Frequency",IF(H238&lt;=10,"Moderate",IF(H238&lt;=15,"High","Very High")))</f>
        <v>Low Frequency</v>
      </c>
      <c r="Q238" s="8" t="str">
        <f aca="false">IF(K238&gt;=90,"Highly Satisfied",IF(K238&gt;=75,"Satisfied",IF(K238&gt;=60,"Neutral","Dissatisfied")))</f>
        <v>Dissatisfied</v>
      </c>
      <c r="R238" s="8" t="str">
        <f aca="false">UPPER(LEFT(TRIM(J238),1))&amp;LOWER(MID(TRIM(J238),2,100))</f>
        <v>Bronze</v>
      </c>
      <c r="S238" s="8" t="str">
        <f aca="false">IF(I238="High","Positive",IF(I238="Medium","Neutral","Negative"))</f>
        <v>Positive</v>
      </c>
      <c r="T238" s="8" t="str">
        <f aca="false">IF(AND(E238&gt;=80000,H238&gt;=15),"Premium",IF(AND(E238&gt;=50000,H238&gt;=10),"Standard","Basic"))</f>
        <v>Basic</v>
      </c>
      <c r="U238" s="8" t="str">
        <f aca="false">IF(AND(F238&gt;=7,G238&gt;=7),"High Quality Experience","Review Needed")</f>
        <v>Review Needed</v>
      </c>
      <c r="V238" s="8" t="str">
        <f aca="false">IF(H238&gt;=10,"Repeat Buyer","Occasional Buyer")</f>
        <v>Occasional Buyer</v>
      </c>
      <c r="W238" s="8" t="str">
        <f aca="false">IF(AND(K238&lt;70,I238="Low"),"At Risk","Stable")</f>
        <v>Stable</v>
      </c>
      <c r="X238" s="8" t="str">
        <f aca="false">IF(AND(K238&lt;75,I238="Low",J238="Bronze"),"Priority Followup","No Action")</f>
        <v>No Action</v>
      </c>
    </row>
    <row r="239" customFormat="false" ht="15" hidden="false" customHeight="false" outlineLevel="0" collapsed="false">
      <c r="A239" s="3" t="n">
        <v>237</v>
      </c>
      <c r="B239" s="3" t="n">
        <v>36</v>
      </c>
      <c r="C239" s="3" t="s">
        <v>11</v>
      </c>
      <c r="D239" s="3" t="s">
        <v>23</v>
      </c>
      <c r="E239" s="3" t="n">
        <v>54076</v>
      </c>
      <c r="F239" s="3" t="n">
        <v>4</v>
      </c>
      <c r="G239" s="3" t="n">
        <v>8</v>
      </c>
      <c r="H239" s="3" t="n">
        <v>17</v>
      </c>
      <c r="I239" s="3" t="s">
        <v>13</v>
      </c>
      <c r="J239" s="3" t="s">
        <v>19</v>
      </c>
      <c r="K239" s="3" t="n">
        <v>80.38</v>
      </c>
      <c r="L239" s="7" t="str">
        <f aca="false">IF(B239&lt;25,"Gen Z",IF(B239&lt;40,"Millennial",IF(B239&lt;55,"Gen X","Baby Boomer")))</f>
        <v>Millennial</v>
      </c>
      <c r="M239" s="7" t="str">
        <f aca="false">IF(E239&lt;50000,"Low Income",IF(E239&lt;80000,"Middle Income",IF(E239&lt;100000,"Upper Middle","High Income")))</f>
        <v>Middle Income</v>
      </c>
      <c r="N239" s="7" t="str">
        <f aca="false">IF(F239&lt;=3,"Poor",IF(F239&lt;=6,"Average",IF(F239&lt;=8,"Good","Excellent")))</f>
        <v>Average</v>
      </c>
      <c r="O239" s="7" t="str">
        <f aca="false">IF(G239&lt;=3,"Poor",IF(G239&lt;=6,"Average",IF(G239&lt;=8,"Good","Excellent")))</f>
        <v>Good</v>
      </c>
      <c r="P239" s="7" t="str">
        <f aca="false">IF(H239&lt;=5,"Low Frequency",IF(H239&lt;=10,"Moderate",IF(H239&lt;=15,"High","Very High")))</f>
        <v>Very High</v>
      </c>
      <c r="Q239" s="7" t="str">
        <f aca="false">IF(K239&gt;=90,"Highly Satisfied",IF(K239&gt;=75,"Satisfied",IF(K239&gt;=60,"Neutral","Dissatisfied")))</f>
        <v>Satisfied</v>
      </c>
      <c r="R239" s="7" t="str">
        <f aca="false">UPPER(LEFT(TRIM(J239),1))&amp;LOWER(MID(TRIM(J239),2,100))</f>
        <v>Silver</v>
      </c>
      <c r="S239" s="7" t="str">
        <f aca="false">IF(I239="High","Positive",IF(I239="Medium","Neutral","Negative"))</f>
        <v>Negative</v>
      </c>
      <c r="T239" s="7" t="str">
        <f aca="false">IF(AND(E239&gt;=80000,H239&gt;=15),"Premium",IF(AND(E239&gt;=50000,H239&gt;=10),"Standard","Basic"))</f>
        <v>Standard</v>
      </c>
      <c r="U239" s="7" t="str">
        <f aca="false">IF(AND(F239&gt;=7,G239&gt;=7),"High Quality Experience","Review Needed")</f>
        <v>Review Needed</v>
      </c>
      <c r="V239" s="7" t="str">
        <f aca="false">IF(H239&gt;=10,"Repeat Buyer","Occasional Buyer")</f>
        <v>Repeat Buyer</v>
      </c>
      <c r="W239" s="7" t="str">
        <f aca="false">IF(AND(K239&lt;70,I239="Low"),"At Risk","Stable")</f>
        <v>Stable</v>
      </c>
      <c r="X239" s="7" t="str">
        <f aca="false">IF(AND(K239&lt;75,I239="Low",J239="Bronze"),"Priority Followup","No Action")</f>
        <v>No Action</v>
      </c>
    </row>
    <row r="240" customFormat="false" ht="15" hidden="false" customHeight="false" outlineLevel="0" collapsed="false">
      <c r="A240" s="2" t="n">
        <v>238</v>
      </c>
      <c r="B240" s="2" t="n">
        <v>19</v>
      </c>
      <c r="C240" s="2" t="s">
        <v>17</v>
      </c>
      <c r="D240" s="2" t="s">
        <v>20</v>
      </c>
      <c r="E240" s="2" t="n">
        <v>67148</v>
      </c>
      <c r="F240" s="2" t="n">
        <v>5</v>
      </c>
      <c r="G240" s="2" t="n">
        <v>3</v>
      </c>
      <c r="H240" s="2" t="n">
        <v>20</v>
      </c>
      <c r="I240" s="2" t="s">
        <v>15</v>
      </c>
      <c r="J240" s="2" t="s">
        <v>19</v>
      </c>
      <c r="K240" s="2" t="n">
        <v>82.28</v>
      </c>
      <c r="L240" s="8" t="str">
        <f aca="false">IF(B240&lt;25,"Gen Z",IF(B240&lt;40,"Millennial",IF(B240&lt;55,"Gen X","Baby Boomer")))</f>
        <v>Gen Z</v>
      </c>
      <c r="M240" s="8" t="str">
        <f aca="false">IF(E240&lt;50000,"Low Income",IF(E240&lt;80000,"Middle Income",IF(E240&lt;100000,"Upper Middle","High Income")))</f>
        <v>Middle Income</v>
      </c>
      <c r="N240" s="8" t="str">
        <f aca="false">IF(F240&lt;=3,"Poor",IF(F240&lt;=6,"Average",IF(F240&lt;=8,"Good","Excellent")))</f>
        <v>Average</v>
      </c>
      <c r="O240" s="8" t="str">
        <f aca="false">IF(G240&lt;=3,"Poor",IF(G240&lt;=6,"Average",IF(G240&lt;=8,"Good","Excellent")))</f>
        <v>Poor</v>
      </c>
      <c r="P240" s="8" t="str">
        <f aca="false">IF(H240&lt;=5,"Low Frequency",IF(H240&lt;=10,"Moderate",IF(H240&lt;=15,"High","Very High")))</f>
        <v>Very High</v>
      </c>
      <c r="Q240" s="8" t="str">
        <f aca="false">IF(K240&gt;=90,"Highly Satisfied",IF(K240&gt;=75,"Satisfied",IF(K240&gt;=60,"Neutral","Dissatisfied")))</f>
        <v>Satisfied</v>
      </c>
      <c r="R240" s="8" t="str">
        <f aca="false">UPPER(LEFT(TRIM(J240),1))&amp;LOWER(MID(TRIM(J240),2,100))</f>
        <v>Silver</v>
      </c>
      <c r="S240" s="8" t="str">
        <f aca="false">IF(I240="High","Positive",IF(I240="Medium","Neutral","Negative"))</f>
        <v>Neutral</v>
      </c>
      <c r="T240" s="8" t="str">
        <f aca="false">IF(AND(E240&gt;=80000,H240&gt;=15),"Premium",IF(AND(E240&gt;=50000,H240&gt;=10),"Standard","Basic"))</f>
        <v>Standard</v>
      </c>
      <c r="U240" s="8" t="str">
        <f aca="false">IF(AND(F240&gt;=7,G240&gt;=7),"High Quality Experience","Review Needed")</f>
        <v>Review Needed</v>
      </c>
      <c r="V240" s="8" t="str">
        <f aca="false">IF(H240&gt;=10,"Repeat Buyer","Occasional Buyer")</f>
        <v>Repeat Buyer</v>
      </c>
      <c r="W240" s="8" t="str">
        <f aca="false">IF(AND(K240&lt;70,I240="Low"),"At Risk","Stable")</f>
        <v>Stable</v>
      </c>
      <c r="X240" s="8" t="str">
        <f aca="false">IF(AND(K240&lt;75,I240="Low",J240="Bronze"),"Priority Followup","No Action")</f>
        <v>No Action</v>
      </c>
    </row>
    <row r="241" customFormat="false" ht="15" hidden="false" customHeight="false" outlineLevel="0" collapsed="false">
      <c r="A241" s="3" t="n">
        <v>239</v>
      </c>
      <c r="B241" s="3" t="n">
        <v>61</v>
      </c>
      <c r="C241" s="3" t="s">
        <v>17</v>
      </c>
      <c r="D241" s="3" t="s">
        <v>20</v>
      </c>
      <c r="E241" s="3" t="n">
        <v>77342</v>
      </c>
      <c r="F241" s="3" t="n">
        <v>4</v>
      </c>
      <c r="G241" s="3" t="n">
        <v>4</v>
      </c>
      <c r="H241" s="3" t="n">
        <v>12</v>
      </c>
      <c r="I241" s="3" t="s">
        <v>15</v>
      </c>
      <c r="J241" s="3" t="s">
        <v>16</v>
      </c>
      <c r="K241" s="3" t="n">
        <v>90.22</v>
      </c>
      <c r="L241" s="7" t="str">
        <f aca="false">IF(B241&lt;25,"Gen Z",IF(B241&lt;40,"Millennial",IF(B241&lt;55,"Gen X","Baby Boomer")))</f>
        <v>Baby Boomer</v>
      </c>
      <c r="M241" s="7" t="str">
        <f aca="false">IF(E241&lt;50000,"Low Income",IF(E241&lt;80000,"Middle Income",IF(E241&lt;100000,"Upper Middle","High Income")))</f>
        <v>Middle Income</v>
      </c>
      <c r="N241" s="7" t="str">
        <f aca="false">IF(F241&lt;=3,"Poor",IF(F241&lt;=6,"Average",IF(F241&lt;=8,"Good","Excellent")))</f>
        <v>Average</v>
      </c>
      <c r="O241" s="7" t="str">
        <f aca="false">IF(G241&lt;=3,"Poor",IF(G241&lt;=6,"Average",IF(G241&lt;=8,"Good","Excellent")))</f>
        <v>Average</v>
      </c>
      <c r="P241" s="7" t="str">
        <f aca="false">IF(H241&lt;=5,"Low Frequency",IF(H241&lt;=10,"Moderate",IF(H241&lt;=15,"High","Very High")))</f>
        <v>High</v>
      </c>
      <c r="Q241" s="7" t="str">
        <f aca="false">IF(K241&gt;=90,"Highly Satisfied",IF(K241&gt;=75,"Satisfied",IF(K241&gt;=60,"Neutral","Dissatisfied")))</f>
        <v>Highly Satisfied</v>
      </c>
      <c r="R241" s="7" t="str">
        <f aca="false">UPPER(LEFT(TRIM(J241),1))&amp;LOWER(MID(TRIM(J241),2,100))</f>
        <v>Gold</v>
      </c>
      <c r="S241" s="7" t="str">
        <f aca="false">IF(I241="High","Positive",IF(I241="Medium","Neutral","Negative"))</f>
        <v>Neutral</v>
      </c>
      <c r="T241" s="7" t="str">
        <f aca="false">IF(AND(E241&gt;=80000,H241&gt;=15),"Premium",IF(AND(E241&gt;=50000,H241&gt;=10),"Standard","Basic"))</f>
        <v>Standard</v>
      </c>
      <c r="U241" s="7" t="str">
        <f aca="false">IF(AND(F241&gt;=7,G241&gt;=7),"High Quality Experience","Review Needed")</f>
        <v>Review Needed</v>
      </c>
      <c r="V241" s="7" t="str">
        <f aca="false">IF(H241&gt;=10,"Repeat Buyer","Occasional Buyer")</f>
        <v>Repeat Buyer</v>
      </c>
      <c r="W241" s="7" t="str">
        <f aca="false">IF(AND(K241&lt;70,I241="Low"),"At Risk","Stable")</f>
        <v>Stable</v>
      </c>
      <c r="X241" s="7" t="str">
        <f aca="false">IF(AND(K241&lt;75,I241="Low",J241="Bronze"),"Priority Followup","No Action")</f>
        <v>No Action</v>
      </c>
    </row>
    <row r="242" customFormat="false" ht="15" hidden="false" customHeight="false" outlineLevel="0" collapsed="false">
      <c r="A242" s="2" t="n">
        <v>240</v>
      </c>
      <c r="B242" s="2" t="n">
        <v>43</v>
      </c>
      <c r="C242" s="2" t="s">
        <v>11</v>
      </c>
      <c r="D242" s="2" t="s">
        <v>22</v>
      </c>
      <c r="E242" s="2" t="n">
        <v>65400</v>
      </c>
      <c r="F242" s="2" t="n">
        <v>6</v>
      </c>
      <c r="G242" s="2" t="n">
        <v>9</v>
      </c>
      <c r="H242" s="2" t="n">
        <v>12</v>
      </c>
      <c r="I242" s="2" t="s">
        <v>13</v>
      </c>
      <c r="J242" s="2" t="s">
        <v>16</v>
      </c>
      <c r="K242" s="2" t="n">
        <v>100</v>
      </c>
      <c r="L242" s="8" t="str">
        <f aca="false">IF(B242&lt;25,"Gen Z",IF(B242&lt;40,"Millennial",IF(B242&lt;55,"Gen X","Baby Boomer")))</f>
        <v>Gen X</v>
      </c>
      <c r="M242" s="8" t="str">
        <f aca="false">IF(E242&lt;50000,"Low Income",IF(E242&lt;80000,"Middle Income",IF(E242&lt;100000,"Upper Middle","High Income")))</f>
        <v>Middle Income</v>
      </c>
      <c r="N242" s="8" t="str">
        <f aca="false">IF(F242&lt;=3,"Poor",IF(F242&lt;=6,"Average",IF(F242&lt;=8,"Good","Excellent")))</f>
        <v>Average</v>
      </c>
      <c r="O242" s="8" t="str">
        <f aca="false">IF(G242&lt;=3,"Poor",IF(G242&lt;=6,"Average",IF(G242&lt;=8,"Good","Excellent")))</f>
        <v>Excellent</v>
      </c>
      <c r="P242" s="8" t="str">
        <f aca="false">IF(H242&lt;=5,"Low Frequency",IF(H242&lt;=10,"Moderate",IF(H242&lt;=15,"High","Very High")))</f>
        <v>High</v>
      </c>
      <c r="Q242" s="8" t="str">
        <f aca="false">IF(K242&gt;=90,"Highly Satisfied",IF(K242&gt;=75,"Satisfied",IF(K242&gt;=60,"Neutral","Dissatisfied")))</f>
        <v>Highly Satisfied</v>
      </c>
      <c r="R242" s="8" t="str">
        <f aca="false">UPPER(LEFT(TRIM(J242),1))&amp;LOWER(MID(TRIM(J242),2,100))</f>
        <v>Gold</v>
      </c>
      <c r="S242" s="8" t="str">
        <f aca="false">IF(I242="High","Positive",IF(I242="Medium","Neutral","Negative"))</f>
        <v>Negative</v>
      </c>
      <c r="T242" s="8" t="str">
        <f aca="false">IF(AND(E242&gt;=80000,H242&gt;=15),"Premium",IF(AND(E242&gt;=50000,H242&gt;=10),"Standard","Basic"))</f>
        <v>Standard</v>
      </c>
      <c r="U242" s="8" t="str">
        <f aca="false">IF(AND(F242&gt;=7,G242&gt;=7),"High Quality Experience","Review Needed")</f>
        <v>Review Needed</v>
      </c>
      <c r="V242" s="8" t="str">
        <f aca="false">IF(H242&gt;=10,"Repeat Buyer","Occasional Buyer")</f>
        <v>Repeat Buyer</v>
      </c>
      <c r="W242" s="8" t="str">
        <f aca="false">IF(AND(K242&lt;70,I242="Low"),"At Risk","Stable")</f>
        <v>Stable</v>
      </c>
      <c r="X242" s="8" t="str">
        <f aca="false">IF(AND(K242&lt;75,I242="Low",J242="Bronze"),"Priority Followup","No Action")</f>
        <v>No Action</v>
      </c>
    </row>
    <row r="243" customFormat="false" ht="15" hidden="false" customHeight="false" outlineLevel="0" collapsed="false">
      <c r="A243" s="3" t="n">
        <v>241</v>
      </c>
      <c r="B243" s="3" t="n">
        <v>49</v>
      </c>
      <c r="C243" s="3" t="s">
        <v>11</v>
      </c>
      <c r="D243" s="3" t="s">
        <v>18</v>
      </c>
      <c r="E243" s="3" t="n">
        <v>75737</v>
      </c>
      <c r="F243" s="3" t="n">
        <v>3</v>
      </c>
      <c r="G243" s="3" t="n">
        <v>9</v>
      </c>
      <c r="H243" s="3" t="n">
        <v>12</v>
      </c>
      <c r="I243" s="3" t="s">
        <v>21</v>
      </c>
      <c r="J243" s="3" t="s">
        <v>14</v>
      </c>
      <c r="K243" s="3" t="n">
        <v>100</v>
      </c>
      <c r="L243" s="7" t="str">
        <f aca="false">IF(B243&lt;25,"Gen Z",IF(B243&lt;40,"Millennial",IF(B243&lt;55,"Gen X","Baby Boomer")))</f>
        <v>Gen X</v>
      </c>
      <c r="M243" s="7" t="str">
        <f aca="false">IF(E243&lt;50000,"Low Income",IF(E243&lt;80000,"Middle Income",IF(E243&lt;100000,"Upper Middle","High Income")))</f>
        <v>Middle Income</v>
      </c>
      <c r="N243" s="7" t="str">
        <f aca="false">IF(F243&lt;=3,"Poor",IF(F243&lt;=6,"Average",IF(F243&lt;=8,"Good","Excellent")))</f>
        <v>Poor</v>
      </c>
      <c r="O243" s="7" t="str">
        <f aca="false">IF(G243&lt;=3,"Poor",IF(G243&lt;=6,"Average",IF(G243&lt;=8,"Good","Excellent")))</f>
        <v>Excellent</v>
      </c>
      <c r="P243" s="7" t="str">
        <f aca="false">IF(H243&lt;=5,"Low Frequency",IF(H243&lt;=10,"Moderate",IF(H243&lt;=15,"High","Very High")))</f>
        <v>High</v>
      </c>
      <c r="Q243" s="7" t="str">
        <f aca="false">IF(K243&gt;=90,"Highly Satisfied",IF(K243&gt;=75,"Satisfied",IF(K243&gt;=60,"Neutral","Dissatisfied")))</f>
        <v>Highly Satisfied</v>
      </c>
      <c r="R243" s="7" t="str">
        <f aca="false">UPPER(LEFT(TRIM(J243),1))&amp;LOWER(MID(TRIM(J243),2,100))</f>
        <v>Bronze</v>
      </c>
      <c r="S243" s="7" t="str">
        <f aca="false">IF(I243="High","Positive",IF(I243="Medium","Neutral","Negative"))</f>
        <v>Positive</v>
      </c>
      <c r="T243" s="7" t="str">
        <f aca="false">IF(AND(E243&gt;=80000,H243&gt;=15),"Premium",IF(AND(E243&gt;=50000,H243&gt;=10),"Standard","Basic"))</f>
        <v>Standard</v>
      </c>
      <c r="U243" s="7" t="str">
        <f aca="false">IF(AND(F243&gt;=7,G243&gt;=7),"High Quality Experience","Review Needed")</f>
        <v>Review Needed</v>
      </c>
      <c r="V243" s="7" t="str">
        <f aca="false">IF(H243&gt;=10,"Repeat Buyer","Occasional Buyer")</f>
        <v>Repeat Buyer</v>
      </c>
      <c r="W243" s="7" t="str">
        <f aca="false">IF(AND(K243&lt;70,I243="Low"),"At Risk","Stable")</f>
        <v>Stable</v>
      </c>
      <c r="X243" s="7" t="str">
        <f aca="false">IF(AND(K243&lt;75,I243="Low",J243="Bronze"),"Priority Followup","No Action")</f>
        <v>No Action</v>
      </c>
    </row>
    <row r="244" customFormat="false" ht="15" hidden="false" customHeight="false" outlineLevel="0" collapsed="false">
      <c r="A244" s="2" t="n">
        <v>242</v>
      </c>
      <c r="B244" s="2" t="n">
        <v>23</v>
      </c>
      <c r="C244" s="2" t="s">
        <v>17</v>
      </c>
      <c r="D244" s="2" t="s">
        <v>18</v>
      </c>
      <c r="E244" s="2" t="n">
        <v>57069</v>
      </c>
      <c r="F244" s="2" t="n">
        <v>8</v>
      </c>
      <c r="G244" s="2" t="n">
        <v>6</v>
      </c>
      <c r="H244" s="2" t="n">
        <v>8</v>
      </c>
      <c r="I244" s="2" t="s">
        <v>21</v>
      </c>
      <c r="J244" s="2" t="s">
        <v>14</v>
      </c>
      <c r="K244" s="2" t="n">
        <v>100</v>
      </c>
      <c r="L244" s="8" t="str">
        <f aca="false">IF(B244&lt;25,"Gen Z",IF(B244&lt;40,"Millennial",IF(B244&lt;55,"Gen X","Baby Boomer")))</f>
        <v>Gen Z</v>
      </c>
      <c r="M244" s="8" t="str">
        <f aca="false">IF(E244&lt;50000,"Low Income",IF(E244&lt;80000,"Middle Income",IF(E244&lt;100000,"Upper Middle","High Income")))</f>
        <v>Middle Income</v>
      </c>
      <c r="N244" s="8" t="str">
        <f aca="false">IF(F244&lt;=3,"Poor",IF(F244&lt;=6,"Average",IF(F244&lt;=8,"Good","Excellent")))</f>
        <v>Good</v>
      </c>
      <c r="O244" s="8" t="str">
        <f aca="false">IF(G244&lt;=3,"Poor",IF(G244&lt;=6,"Average",IF(G244&lt;=8,"Good","Excellent")))</f>
        <v>Average</v>
      </c>
      <c r="P244" s="8" t="str">
        <f aca="false">IF(H244&lt;=5,"Low Frequency",IF(H244&lt;=10,"Moderate",IF(H244&lt;=15,"High","Very High")))</f>
        <v>Moderate</v>
      </c>
      <c r="Q244" s="8" t="str">
        <f aca="false">IF(K244&gt;=90,"Highly Satisfied",IF(K244&gt;=75,"Satisfied",IF(K244&gt;=60,"Neutral","Dissatisfied")))</f>
        <v>Highly Satisfied</v>
      </c>
      <c r="R244" s="8" t="str">
        <f aca="false">UPPER(LEFT(TRIM(J244),1))&amp;LOWER(MID(TRIM(J244),2,100))</f>
        <v>Bronze</v>
      </c>
      <c r="S244" s="8" t="str">
        <f aca="false">IF(I244="High","Positive",IF(I244="Medium","Neutral","Negative"))</f>
        <v>Positive</v>
      </c>
      <c r="T244" s="8" t="str">
        <f aca="false">IF(AND(E244&gt;=80000,H244&gt;=15),"Premium",IF(AND(E244&gt;=50000,H244&gt;=10),"Standard","Basic"))</f>
        <v>Basic</v>
      </c>
      <c r="U244" s="8" t="str">
        <f aca="false">IF(AND(F244&gt;=7,G244&gt;=7),"High Quality Experience","Review Needed")</f>
        <v>Review Needed</v>
      </c>
      <c r="V244" s="8" t="str">
        <f aca="false">IF(H244&gt;=10,"Repeat Buyer","Occasional Buyer")</f>
        <v>Occasional Buyer</v>
      </c>
      <c r="W244" s="8" t="str">
        <f aca="false">IF(AND(K244&lt;70,I244="Low"),"At Risk","Stable")</f>
        <v>Stable</v>
      </c>
      <c r="X244" s="8" t="str">
        <f aca="false">IF(AND(K244&lt;75,I244="Low",J244="Bronze"),"Priority Followup","No Action")</f>
        <v>No Action</v>
      </c>
    </row>
    <row r="245" customFormat="false" ht="15" hidden="false" customHeight="false" outlineLevel="0" collapsed="false">
      <c r="A245" s="3" t="n">
        <v>243</v>
      </c>
      <c r="B245" s="3" t="n">
        <v>49</v>
      </c>
      <c r="C245" s="3" t="s">
        <v>11</v>
      </c>
      <c r="D245" s="3" t="s">
        <v>18</v>
      </c>
      <c r="E245" s="3" t="n">
        <v>70679</v>
      </c>
      <c r="F245" s="3" t="n">
        <v>2</v>
      </c>
      <c r="G245" s="3" t="n">
        <v>10</v>
      </c>
      <c r="H245" s="3" t="n">
        <v>8</v>
      </c>
      <c r="I245" s="3" t="s">
        <v>15</v>
      </c>
      <c r="J245" s="3" t="s">
        <v>19</v>
      </c>
      <c r="K245" s="3" t="n">
        <v>94.05</v>
      </c>
      <c r="L245" s="7" t="str">
        <f aca="false">IF(B245&lt;25,"Gen Z",IF(B245&lt;40,"Millennial",IF(B245&lt;55,"Gen X","Baby Boomer")))</f>
        <v>Gen X</v>
      </c>
      <c r="M245" s="7" t="str">
        <f aca="false">IF(E245&lt;50000,"Low Income",IF(E245&lt;80000,"Middle Income",IF(E245&lt;100000,"Upper Middle","High Income")))</f>
        <v>Middle Income</v>
      </c>
      <c r="N245" s="7" t="str">
        <f aca="false">IF(F245&lt;=3,"Poor",IF(F245&lt;=6,"Average",IF(F245&lt;=8,"Good","Excellent")))</f>
        <v>Poor</v>
      </c>
      <c r="O245" s="7" t="str">
        <f aca="false">IF(G245&lt;=3,"Poor",IF(G245&lt;=6,"Average",IF(G245&lt;=8,"Good","Excellent")))</f>
        <v>Excellent</v>
      </c>
      <c r="P245" s="7" t="str">
        <f aca="false">IF(H245&lt;=5,"Low Frequency",IF(H245&lt;=10,"Moderate",IF(H245&lt;=15,"High","Very High")))</f>
        <v>Moderate</v>
      </c>
      <c r="Q245" s="7" t="str">
        <f aca="false">IF(K245&gt;=90,"Highly Satisfied",IF(K245&gt;=75,"Satisfied",IF(K245&gt;=60,"Neutral","Dissatisfied")))</f>
        <v>Highly Satisfied</v>
      </c>
      <c r="R245" s="7" t="str">
        <f aca="false">UPPER(LEFT(TRIM(J245),1))&amp;LOWER(MID(TRIM(J245),2,100))</f>
        <v>Silver</v>
      </c>
      <c r="S245" s="7" t="str">
        <f aca="false">IF(I245="High","Positive",IF(I245="Medium","Neutral","Negative"))</f>
        <v>Neutral</v>
      </c>
      <c r="T245" s="7" t="str">
        <f aca="false">IF(AND(E245&gt;=80000,H245&gt;=15),"Premium",IF(AND(E245&gt;=50000,H245&gt;=10),"Standard","Basic"))</f>
        <v>Basic</v>
      </c>
      <c r="U245" s="7" t="str">
        <f aca="false">IF(AND(F245&gt;=7,G245&gt;=7),"High Quality Experience","Review Needed")</f>
        <v>Review Needed</v>
      </c>
      <c r="V245" s="7" t="str">
        <f aca="false">IF(H245&gt;=10,"Repeat Buyer","Occasional Buyer")</f>
        <v>Occasional Buyer</v>
      </c>
      <c r="W245" s="7" t="str">
        <f aca="false">IF(AND(K245&lt;70,I245="Low"),"At Risk","Stable")</f>
        <v>Stable</v>
      </c>
      <c r="X245" s="7" t="str">
        <f aca="false">IF(AND(K245&lt;75,I245="Low",J245="Bronze"),"Priority Followup","No Action")</f>
        <v>No Action</v>
      </c>
    </row>
    <row r="246" customFormat="false" ht="15" hidden="false" customHeight="false" outlineLevel="0" collapsed="false">
      <c r="A246" s="2" t="n">
        <v>244</v>
      </c>
      <c r="B246" s="2" t="n">
        <v>21</v>
      </c>
      <c r="C246" s="2" t="s">
        <v>11</v>
      </c>
      <c r="D246" s="2" t="s">
        <v>20</v>
      </c>
      <c r="E246" s="2" t="n">
        <v>109046</v>
      </c>
      <c r="F246" s="2" t="n">
        <v>9</v>
      </c>
      <c r="G246" s="2" t="n">
        <v>3</v>
      </c>
      <c r="H246" s="2" t="n">
        <v>8</v>
      </c>
      <c r="I246" s="2" t="s">
        <v>21</v>
      </c>
      <c r="J246" s="2" t="s">
        <v>14</v>
      </c>
      <c r="K246" s="2" t="n">
        <v>97.77</v>
      </c>
      <c r="L246" s="8" t="str">
        <f aca="false">IF(B246&lt;25,"Gen Z",IF(B246&lt;40,"Millennial",IF(B246&lt;55,"Gen X","Baby Boomer")))</f>
        <v>Gen Z</v>
      </c>
      <c r="M246" s="8" t="str">
        <f aca="false">IF(E246&lt;50000,"Low Income",IF(E246&lt;80000,"Middle Income",IF(E246&lt;100000,"Upper Middle","High Income")))</f>
        <v>High Income</v>
      </c>
      <c r="N246" s="8" t="str">
        <f aca="false">IF(F246&lt;=3,"Poor",IF(F246&lt;=6,"Average",IF(F246&lt;=8,"Good","Excellent")))</f>
        <v>Excellent</v>
      </c>
      <c r="O246" s="8" t="str">
        <f aca="false">IF(G246&lt;=3,"Poor",IF(G246&lt;=6,"Average",IF(G246&lt;=8,"Good","Excellent")))</f>
        <v>Poor</v>
      </c>
      <c r="P246" s="8" t="str">
        <f aca="false">IF(H246&lt;=5,"Low Frequency",IF(H246&lt;=10,"Moderate",IF(H246&lt;=15,"High","Very High")))</f>
        <v>Moderate</v>
      </c>
      <c r="Q246" s="8" t="str">
        <f aca="false">IF(K246&gt;=90,"Highly Satisfied",IF(K246&gt;=75,"Satisfied",IF(K246&gt;=60,"Neutral","Dissatisfied")))</f>
        <v>Highly Satisfied</v>
      </c>
      <c r="R246" s="8" t="str">
        <f aca="false">UPPER(LEFT(TRIM(J246),1))&amp;LOWER(MID(TRIM(J246),2,100))</f>
        <v>Bronze</v>
      </c>
      <c r="S246" s="8" t="str">
        <f aca="false">IF(I246="High","Positive",IF(I246="Medium","Neutral","Negative"))</f>
        <v>Positive</v>
      </c>
      <c r="T246" s="8" t="str">
        <f aca="false">IF(AND(E246&gt;=80000,H246&gt;=15),"Premium",IF(AND(E246&gt;=50000,H246&gt;=10),"Standard","Basic"))</f>
        <v>Basic</v>
      </c>
      <c r="U246" s="8" t="str">
        <f aca="false">IF(AND(F246&gt;=7,G246&gt;=7),"High Quality Experience","Review Needed")</f>
        <v>Review Needed</v>
      </c>
      <c r="V246" s="8" t="str">
        <f aca="false">IF(H246&gt;=10,"Repeat Buyer","Occasional Buyer")</f>
        <v>Occasional Buyer</v>
      </c>
      <c r="W246" s="8" t="str">
        <f aca="false">IF(AND(K246&lt;70,I246="Low"),"At Risk","Stable")</f>
        <v>Stable</v>
      </c>
      <c r="X246" s="8" t="str">
        <f aca="false">IF(AND(K246&lt;75,I246="Low",J246="Bronze"),"Priority Followup","No Action")</f>
        <v>No Action</v>
      </c>
    </row>
    <row r="247" customFormat="false" ht="15" hidden="false" customHeight="false" outlineLevel="0" collapsed="false">
      <c r="A247" s="3" t="n">
        <v>245</v>
      </c>
      <c r="B247" s="3" t="n">
        <v>28</v>
      </c>
      <c r="C247" s="3" t="s">
        <v>11</v>
      </c>
      <c r="D247" s="3" t="s">
        <v>12</v>
      </c>
      <c r="E247" s="3" t="n">
        <v>51702</v>
      </c>
      <c r="F247" s="3" t="n">
        <v>7</v>
      </c>
      <c r="G247" s="3" t="n">
        <v>7</v>
      </c>
      <c r="H247" s="3" t="n">
        <v>5</v>
      </c>
      <c r="I247" s="3" t="s">
        <v>13</v>
      </c>
      <c r="J247" s="3" t="s">
        <v>19</v>
      </c>
      <c r="K247" s="3" t="n">
        <v>100</v>
      </c>
      <c r="L247" s="7" t="str">
        <f aca="false">IF(B247&lt;25,"Gen Z",IF(B247&lt;40,"Millennial",IF(B247&lt;55,"Gen X","Baby Boomer")))</f>
        <v>Millennial</v>
      </c>
      <c r="M247" s="7" t="str">
        <f aca="false">IF(E247&lt;50000,"Low Income",IF(E247&lt;80000,"Middle Income",IF(E247&lt;100000,"Upper Middle","High Income")))</f>
        <v>Middle Income</v>
      </c>
      <c r="N247" s="7" t="str">
        <f aca="false">IF(F247&lt;=3,"Poor",IF(F247&lt;=6,"Average",IF(F247&lt;=8,"Good","Excellent")))</f>
        <v>Good</v>
      </c>
      <c r="O247" s="7" t="str">
        <f aca="false">IF(G247&lt;=3,"Poor",IF(G247&lt;=6,"Average",IF(G247&lt;=8,"Good","Excellent")))</f>
        <v>Good</v>
      </c>
      <c r="P247" s="7" t="str">
        <f aca="false">IF(H247&lt;=5,"Low Frequency",IF(H247&lt;=10,"Moderate",IF(H247&lt;=15,"High","Very High")))</f>
        <v>Low Frequency</v>
      </c>
      <c r="Q247" s="7" t="str">
        <f aca="false">IF(K247&gt;=90,"Highly Satisfied",IF(K247&gt;=75,"Satisfied",IF(K247&gt;=60,"Neutral","Dissatisfied")))</f>
        <v>Highly Satisfied</v>
      </c>
      <c r="R247" s="7" t="str">
        <f aca="false">UPPER(LEFT(TRIM(J247),1))&amp;LOWER(MID(TRIM(J247),2,100))</f>
        <v>Silver</v>
      </c>
      <c r="S247" s="7" t="str">
        <f aca="false">IF(I247="High","Positive",IF(I247="Medium","Neutral","Negative"))</f>
        <v>Negative</v>
      </c>
      <c r="T247" s="7" t="str">
        <f aca="false">IF(AND(E247&gt;=80000,H247&gt;=15),"Premium",IF(AND(E247&gt;=50000,H247&gt;=10),"Standard","Basic"))</f>
        <v>Basic</v>
      </c>
      <c r="U247" s="7" t="str">
        <f aca="false">IF(AND(F247&gt;=7,G247&gt;=7),"High Quality Experience","Review Needed")</f>
        <v>High Quality Experience</v>
      </c>
      <c r="V247" s="7" t="str">
        <f aca="false">IF(H247&gt;=10,"Repeat Buyer","Occasional Buyer")</f>
        <v>Occasional Buyer</v>
      </c>
      <c r="W247" s="7" t="str">
        <f aca="false">IF(AND(K247&lt;70,I247="Low"),"At Risk","Stable")</f>
        <v>Stable</v>
      </c>
      <c r="X247" s="7" t="str">
        <f aca="false">IF(AND(K247&lt;75,I247="Low",J247="Bronze"),"Priority Followup","No Action")</f>
        <v>No Action</v>
      </c>
    </row>
    <row r="248" customFormat="false" ht="15" hidden="false" customHeight="false" outlineLevel="0" collapsed="false">
      <c r="A248" s="2" t="n">
        <v>246</v>
      </c>
      <c r="B248" s="2" t="n">
        <v>34</v>
      </c>
      <c r="C248" s="2" t="s">
        <v>11</v>
      </c>
      <c r="D248" s="2" t="s">
        <v>18</v>
      </c>
      <c r="E248" s="2" t="n">
        <v>116036</v>
      </c>
      <c r="F248" s="2" t="n">
        <v>8</v>
      </c>
      <c r="G248" s="2" t="n">
        <v>2</v>
      </c>
      <c r="H248" s="2" t="n">
        <v>6</v>
      </c>
      <c r="I248" s="2" t="s">
        <v>21</v>
      </c>
      <c r="J248" s="2" t="s">
        <v>16</v>
      </c>
      <c r="K248" s="2" t="n">
        <v>100</v>
      </c>
      <c r="L248" s="8" t="str">
        <f aca="false">IF(B248&lt;25,"Gen Z",IF(B248&lt;40,"Millennial",IF(B248&lt;55,"Gen X","Baby Boomer")))</f>
        <v>Millennial</v>
      </c>
      <c r="M248" s="8" t="str">
        <f aca="false">IF(E248&lt;50000,"Low Income",IF(E248&lt;80000,"Middle Income",IF(E248&lt;100000,"Upper Middle","High Income")))</f>
        <v>High Income</v>
      </c>
      <c r="N248" s="8" t="str">
        <f aca="false">IF(F248&lt;=3,"Poor",IF(F248&lt;=6,"Average",IF(F248&lt;=8,"Good","Excellent")))</f>
        <v>Good</v>
      </c>
      <c r="O248" s="8" t="str">
        <f aca="false">IF(G248&lt;=3,"Poor",IF(G248&lt;=6,"Average",IF(G248&lt;=8,"Good","Excellent")))</f>
        <v>Poor</v>
      </c>
      <c r="P248" s="8" t="str">
        <f aca="false">IF(H248&lt;=5,"Low Frequency",IF(H248&lt;=10,"Moderate",IF(H248&lt;=15,"High","Very High")))</f>
        <v>Moderate</v>
      </c>
      <c r="Q248" s="8" t="str">
        <f aca="false">IF(K248&gt;=90,"Highly Satisfied",IF(K248&gt;=75,"Satisfied",IF(K248&gt;=60,"Neutral","Dissatisfied")))</f>
        <v>Highly Satisfied</v>
      </c>
      <c r="R248" s="8" t="str">
        <f aca="false">UPPER(LEFT(TRIM(J248),1))&amp;LOWER(MID(TRIM(J248),2,100))</f>
        <v>Gold</v>
      </c>
      <c r="S248" s="8" t="str">
        <f aca="false">IF(I248="High","Positive",IF(I248="Medium","Neutral","Negative"))</f>
        <v>Positive</v>
      </c>
      <c r="T248" s="8" t="str">
        <f aca="false">IF(AND(E248&gt;=80000,H248&gt;=15),"Premium",IF(AND(E248&gt;=50000,H248&gt;=10),"Standard","Basic"))</f>
        <v>Basic</v>
      </c>
      <c r="U248" s="8" t="str">
        <f aca="false">IF(AND(F248&gt;=7,G248&gt;=7),"High Quality Experience","Review Needed")</f>
        <v>Review Needed</v>
      </c>
      <c r="V248" s="8" t="str">
        <f aca="false">IF(H248&gt;=10,"Repeat Buyer","Occasional Buyer")</f>
        <v>Occasional Buyer</v>
      </c>
      <c r="W248" s="8" t="str">
        <f aca="false">IF(AND(K248&lt;70,I248="Low"),"At Risk","Stable")</f>
        <v>Stable</v>
      </c>
      <c r="X248" s="8" t="str">
        <f aca="false">IF(AND(K248&lt;75,I248="Low",J248="Bronze"),"Priority Followup","No Action")</f>
        <v>No Action</v>
      </c>
    </row>
    <row r="249" customFormat="false" ht="15" hidden="false" customHeight="false" outlineLevel="0" collapsed="false">
      <c r="A249" s="3" t="n">
        <v>247</v>
      </c>
      <c r="B249" s="3" t="n">
        <v>55</v>
      </c>
      <c r="C249" s="3" t="s">
        <v>17</v>
      </c>
      <c r="D249" s="3" t="s">
        <v>12</v>
      </c>
      <c r="E249" s="3" t="n">
        <v>101153</v>
      </c>
      <c r="F249" s="3" t="n">
        <v>6</v>
      </c>
      <c r="G249" s="3" t="n">
        <v>7</v>
      </c>
      <c r="H249" s="3" t="n">
        <v>12</v>
      </c>
      <c r="I249" s="3" t="s">
        <v>13</v>
      </c>
      <c r="J249" s="3" t="s">
        <v>19</v>
      </c>
      <c r="K249" s="3" t="n">
        <v>96.7</v>
      </c>
      <c r="L249" s="7" t="str">
        <f aca="false">IF(B249&lt;25,"Gen Z",IF(B249&lt;40,"Millennial",IF(B249&lt;55,"Gen X","Baby Boomer")))</f>
        <v>Baby Boomer</v>
      </c>
      <c r="M249" s="7" t="str">
        <f aca="false">IF(E249&lt;50000,"Low Income",IF(E249&lt;80000,"Middle Income",IF(E249&lt;100000,"Upper Middle","High Income")))</f>
        <v>High Income</v>
      </c>
      <c r="N249" s="7" t="str">
        <f aca="false">IF(F249&lt;=3,"Poor",IF(F249&lt;=6,"Average",IF(F249&lt;=8,"Good","Excellent")))</f>
        <v>Average</v>
      </c>
      <c r="O249" s="7" t="str">
        <f aca="false">IF(G249&lt;=3,"Poor",IF(G249&lt;=6,"Average",IF(G249&lt;=8,"Good","Excellent")))</f>
        <v>Good</v>
      </c>
      <c r="P249" s="7" t="str">
        <f aca="false">IF(H249&lt;=5,"Low Frequency",IF(H249&lt;=10,"Moderate",IF(H249&lt;=15,"High","Very High")))</f>
        <v>High</v>
      </c>
      <c r="Q249" s="7" t="str">
        <f aca="false">IF(K249&gt;=90,"Highly Satisfied",IF(K249&gt;=75,"Satisfied",IF(K249&gt;=60,"Neutral","Dissatisfied")))</f>
        <v>Highly Satisfied</v>
      </c>
      <c r="R249" s="7" t="str">
        <f aca="false">UPPER(LEFT(TRIM(J249),1))&amp;LOWER(MID(TRIM(J249),2,100))</f>
        <v>Silver</v>
      </c>
      <c r="S249" s="7" t="str">
        <f aca="false">IF(I249="High","Positive",IF(I249="Medium","Neutral","Negative"))</f>
        <v>Negative</v>
      </c>
      <c r="T249" s="7" t="str">
        <f aca="false">IF(AND(E249&gt;=80000,H249&gt;=15),"Premium",IF(AND(E249&gt;=50000,H249&gt;=10),"Standard","Basic"))</f>
        <v>Standard</v>
      </c>
      <c r="U249" s="7" t="str">
        <f aca="false">IF(AND(F249&gt;=7,G249&gt;=7),"High Quality Experience","Review Needed")</f>
        <v>Review Needed</v>
      </c>
      <c r="V249" s="7" t="str">
        <f aca="false">IF(H249&gt;=10,"Repeat Buyer","Occasional Buyer")</f>
        <v>Repeat Buyer</v>
      </c>
      <c r="W249" s="7" t="str">
        <f aca="false">IF(AND(K249&lt;70,I249="Low"),"At Risk","Stable")</f>
        <v>Stable</v>
      </c>
      <c r="X249" s="7" t="str">
        <f aca="false">IF(AND(K249&lt;75,I249="Low",J249="Bronze"),"Priority Followup","No Action")</f>
        <v>No Action</v>
      </c>
    </row>
    <row r="250" customFormat="false" ht="15" hidden="false" customHeight="false" outlineLevel="0" collapsed="false">
      <c r="A250" s="2" t="n">
        <v>248</v>
      </c>
      <c r="B250" s="2" t="n">
        <v>41</v>
      </c>
      <c r="C250" s="2" t="s">
        <v>11</v>
      </c>
      <c r="D250" s="2" t="s">
        <v>22</v>
      </c>
      <c r="E250" s="2" t="n">
        <v>102364</v>
      </c>
      <c r="F250" s="2" t="n">
        <v>5</v>
      </c>
      <c r="G250" s="2" t="n">
        <v>4</v>
      </c>
      <c r="H250" s="2" t="n">
        <v>20</v>
      </c>
      <c r="I250" s="2" t="s">
        <v>15</v>
      </c>
      <c r="J250" s="2" t="s">
        <v>14</v>
      </c>
      <c r="K250" s="2" t="n">
        <v>100</v>
      </c>
      <c r="L250" s="8" t="str">
        <f aca="false">IF(B250&lt;25,"Gen Z",IF(B250&lt;40,"Millennial",IF(B250&lt;55,"Gen X","Baby Boomer")))</f>
        <v>Gen X</v>
      </c>
      <c r="M250" s="8" t="str">
        <f aca="false">IF(E250&lt;50000,"Low Income",IF(E250&lt;80000,"Middle Income",IF(E250&lt;100000,"Upper Middle","High Income")))</f>
        <v>High Income</v>
      </c>
      <c r="N250" s="8" t="str">
        <f aca="false">IF(F250&lt;=3,"Poor",IF(F250&lt;=6,"Average",IF(F250&lt;=8,"Good","Excellent")))</f>
        <v>Average</v>
      </c>
      <c r="O250" s="8" t="str">
        <f aca="false">IF(G250&lt;=3,"Poor",IF(G250&lt;=6,"Average",IF(G250&lt;=8,"Good","Excellent")))</f>
        <v>Average</v>
      </c>
      <c r="P250" s="8" t="str">
        <f aca="false">IF(H250&lt;=5,"Low Frequency",IF(H250&lt;=10,"Moderate",IF(H250&lt;=15,"High","Very High")))</f>
        <v>Very High</v>
      </c>
      <c r="Q250" s="8" t="str">
        <f aca="false">IF(K250&gt;=90,"Highly Satisfied",IF(K250&gt;=75,"Satisfied",IF(K250&gt;=60,"Neutral","Dissatisfied")))</f>
        <v>Highly Satisfied</v>
      </c>
      <c r="R250" s="8" t="str">
        <f aca="false">UPPER(LEFT(TRIM(J250),1))&amp;LOWER(MID(TRIM(J250),2,100))</f>
        <v>Bronze</v>
      </c>
      <c r="S250" s="8" t="str">
        <f aca="false">IF(I250="High","Positive",IF(I250="Medium","Neutral","Negative"))</f>
        <v>Neutral</v>
      </c>
      <c r="T250" s="8" t="str">
        <f aca="false">IF(AND(E250&gt;=80000,H250&gt;=15),"Premium",IF(AND(E250&gt;=50000,H250&gt;=10),"Standard","Basic"))</f>
        <v>Premium</v>
      </c>
      <c r="U250" s="8" t="str">
        <f aca="false">IF(AND(F250&gt;=7,G250&gt;=7),"High Quality Experience","Review Needed")</f>
        <v>Review Needed</v>
      </c>
      <c r="V250" s="8" t="str">
        <f aca="false">IF(H250&gt;=10,"Repeat Buyer","Occasional Buyer")</f>
        <v>Repeat Buyer</v>
      </c>
      <c r="W250" s="8" t="str">
        <f aca="false">IF(AND(K250&lt;70,I250="Low"),"At Risk","Stable")</f>
        <v>Stable</v>
      </c>
      <c r="X250" s="8" t="str">
        <f aca="false">IF(AND(K250&lt;75,I250="Low",J250="Bronze"),"Priority Followup","No Action")</f>
        <v>No Action</v>
      </c>
    </row>
    <row r="251" customFormat="false" ht="15" hidden="false" customHeight="false" outlineLevel="0" collapsed="false">
      <c r="A251" s="3" t="n">
        <v>249</v>
      </c>
      <c r="B251" s="3" t="n">
        <v>22</v>
      </c>
      <c r="C251" s="3" t="s">
        <v>17</v>
      </c>
      <c r="D251" s="3" t="s">
        <v>20</v>
      </c>
      <c r="E251" s="3" t="n">
        <v>78538</v>
      </c>
      <c r="F251" s="3" t="n">
        <v>5</v>
      </c>
      <c r="G251" s="3" t="n">
        <v>6</v>
      </c>
      <c r="H251" s="3" t="n">
        <v>14</v>
      </c>
      <c r="I251" s="3" t="s">
        <v>15</v>
      </c>
      <c r="J251" s="3" t="s">
        <v>14</v>
      </c>
      <c r="K251" s="3" t="n">
        <v>100</v>
      </c>
      <c r="L251" s="7" t="str">
        <f aca="false">IF(B251&lt;25,"Gen Z",IF(B251&lt;40,"Millennial",IF(B251&lt;55,"Gen X","Baby Boomer")))</f>
        <v>Gen Z</v>
      </c>
      <c r="M251" s="7" t="str">
        <f aca="false">IF(E251&lt;50000,"Low Income",IF(E251&lt;80000,"Middle Income",IF(E251&lt;100000,"Upper Middle","High Income")))</f>
        <v>Middle Income</v>
      </c>
      <c r="N251" s="7" t="str">
        <f aca="false">IF(F251&lt;=3,"Poor",IF(F251&lt;=6,"Average",IF(F251&lt;=8,"Good","Excellent")))</f>
        <v>Average</v>
      </c>
      <c r="O251" s="7" t="str">
        <f aca="false">IF(G251&lt;=3,"Poor",IF(G251&lt;=6,"Average",IF(G251&lt;=8,"Good","Excellent")))</f>
        <v>Average</v>
      </c>
      <c r="P251" s="7" t="str">
        <f aca="false">IF(H251&lt;=5,"Low Frequency",IF(H251&lt;=10,"Moderate",IF(H251&lt;=15,"High","Very High")))</f>
        <v>High</v>
      </c>
      <c r="Q251" s="7" t="str">
        <f aca="false">IF(K251&gt;=90,"Highly Satisfied",IF(K251&gt;=75,"Satisfied",IF(K251&gt;=60,"Neutral","Dissatisfied")))</f>
        <v>Highly Satisfied</v>
      </c>
      <c r="R251" s="7" t="str">
        <f aca="false">UPPER(LEFT(TRIM(J251),1))&amp;LOWER(MID(TRIM(J251),2,100))</f>
        <v>Bronze</v>
      </c>
      <c r="S251" s="7" t="str">
        <f aca="false">IF(I251="High","Positive",IF(I251="Medium","Neutral","Negative"))</f>
        <v>Neutral</v>
      </c>
      <c r="T251" s="7" t="str">
        <f aca="false">IF(AND(E251&gt;=80000,H251&gt;=15),"Premium",IF(AND(E251&gt;=50000,H251&gt;=10),"Standard","Basic"))</f>
        <v>Standard</v>
      </c>
      <c r="U251" s="7" t="str">
        <f aca="false">IF(AND(F251&gt;=7,G251&gt;=7),"High Quality Experience","Review Needed")</f>
        <v>Review Needed</v>
      </c>
      <c r="V251" s="7" t="str">
        <f aca="false">IF(H251&gt;=10,"Repeat Buyer","Occasional Buyer")</f>
        <v>Repeat Buyer</v>
      </c>
      <c r="W251" s="7" t="str">
        <f aca="false">IF(AND(K251&lt;70,I251="Low"),"At Risk","Stable")</f>
        <v>Stable</v>
      </c>
      <c r="X251" s="7" t="str">
        <f aca="false">IF(AND(K251&lt;75,I251="Low",J251="Bronze"),"Priority Followup","No Action")</f>
        <v>No Action</v>
      </c>
    </row>
    <row r="252" customFormat="false" ht="15" hidden="false" customHeight="false" outlineLevel="0" collapsed="false">
      <c r="A252" s="2" t="n">
        <v>250</v>
      </c>
      <c r="B252" s="2" t="n">
        <v>69</v>
      </c>
      <c r="C252" s="2" t="s">
        <v>11</v>
      </c>
      <c r="D252" s="2" t="s">
        <v>18</v>
      </c>
      <c r="E252" s="2" t="n">
        <v>115188</v>
      </c>
      <c r="F252" s="2" t="n">
        <v>7</v>
      </c>
      <c r="G252" s="2" t="n">
        <v>9</v>
      </c>
      <c r="H252" s="2" t="n">
        <v>13</v>
      </c>
      <c r="I252" s="2" t="s">
        <v>13</v>
      </c>
      <c r="J252" s="2" t="s">
        <v>16</v>
      </c>
      <c r="K252" s="2" t="n">
        <v>100</v>
      </c>
      <c r="L252" s="8" t="str">
        <f aca="false">IF(B252&lt;25,"Gen Z",IF(B252&lt;40,"Millennial",IF(B252&lt;55,"Gen X","Baby Boomer")))</f>
        <v>Baby Boomer</v>
      </c>
      <c r="M252" s="8" t="str">
        <f aca="false">IF(E252&lt;50000,"Low Income",IF(E252&lt;80000,"Middle Income",IF(E252&lt;100000,"Upper Middle","High Income")))</f>
        <v>High Income</v>
      </c>
      <c r="N252" s="8" t="str">
        <f aca="false">IF(F252&lt;=3,"Poor",IF(F252&lt;=6,"Average",IF(F252&lt;=8,"Good","Excellent")))</f>
        <v>Good</v>
      </c>
      <c r="O252" s="8" t="str">
        <f aca="false">IF(G252&lt;=3,"Poor",IF(G252&lt;=6,"Average",IF(G252&lt;=8,"Good","Excellent")))</f>
        <v>Excellent</v>
      </c>
      <c r="P252" s="8" t="str">
        <f aca="false">IF(H252&lt;=5,"Low Frequency",IF(H252&lt;=10,"Moderate",IF(H252&lt;=15,"High","Very High")))</f>
        <v>High</v>
      </c>
      <c r="Q252" s="8" t="str">
        <f aca="false">IF(K252&gt;=90,"Highly Satisfied",IF(K252&gt;=75,"Satisfied",IF(K252&gt;=60,"Neutral","Dissatisfied")))</f>
        <v>Highly Satisfied</v>
      </c>
      <c r="R252" s="8" t="str">
        <f aca="false">UPPER(LEFT(TRIM(J252),1))&amp;LOWER(MID(TRIM(J252),2,100))</f>
        <v>Gold</v>
      </c>
      <c r="S252" s="8" t="str">
        <f aca="false">IF(I252="High","Positive",IF(I252="Medium","Neutral","Negative"))</f>
        <v>Negative</v>
      </c>
      <c r="T252" s="8" t="str">
        <f aca="false">IF(AND(E252&gt;=80000,H252&gt;=15),"Premium",IF(AND(E252&gt;=50000,H252&gt;=10),"Standard","Basic"))</f>
        <v>Standard</v>
      </c>
      <c r="U252" s="8" t="str">
        <f aca="false">IF(AND(F252&gt;=7,G252&gt;=7),"High Quality Experience","Review Needed")</f>
        <v>High Quality Experience</v>
      </c>
      <c r="V252" s="8" t="str">
        <f aca="false">IF(H252&gt;=10,"Repeat Buyer","Occasional Buyer")</f>
        <v>Repeat Buyer</v>
      </c>
      <c r="W252" s="8" t="str">
        <f aca="false">IF(AND(K252&lt;70,I252="Low"),"At Risk","Stable")</f>
        <v>Stable</v>
      </c>
      <c r="X252" s="8" t="str">
        <f aca="false">IF(AND(K252&lt;75,I252="Low",J252="Bronze"),"Priority Followup","No Action")</f>
        <v>No Action</v>
      </c>
    </row>
    <row r="253" customFormat="false" ht="15" hidden="false" customHeight="false" outlineLevel="0" collapsed="false">
      <c r="A253" s="3" t="n">
        <v>251</v>
      </c>
      <c r="B253" s="3" t="n">
        <v>51</v>
      </c>
      <c r="C253" s="3" t="s">
        <v>17</v>
      </c>
      <c r="D253" s="3" t="s">
        <v>20</v>
      </c>
      <c r="E253" s="3" t="n">
        <v>98423</v>
      </c>
      <c r="F253" s="3" t="n">
        <v>4</v>
      </c>
      <c r="G253" s="3" t="n">
        <v>7</v>
      </c>
      <c r="H253" s="3" t="n">
        <v>7</v>
      </c>
      <c r="I253" s="3" t="s">
        <v>21</v>
      </c>
      <c r="J253" s="3" t="s">
        <v>16</v>
      </c>
      <c r="K253" s="3" t="n">
        <v>92.13</v>
      </c>
      <c r="L253" s="7" t="str">
        <f aca="false">IF(B253&lt;25,"Gen Z",IF(B253&lt;40,"Millennial",IF(B253&lt;55,"Gen X","Baby Boomer")))</f>
        <v>Gen X</v>
      </c>
      <c r="M253" s="7" t="str">
        <f aca="false">IF(E253&lt;50000,"Low Income",IF(E253&lt;80000,"Middle Income",IF(E253&lt;100000,"Upper Middle","High Income")))</f>
        <v>Upper Middle</v>
      </c>
      <c r="N253" s="7" t="str">
        <f aca="false">IF(F253&lt;=3,"Poor",IF(F253&lt;=6,"Average",IF(F253&lt;=8,"Good","Excellent")))</f>
        <v>Average</v>
      </c>
      <c r="O253" s="7" t="str">
        <f aca="false">IF(G253&lt;=3,"Poor",IF(G253&lt;=6,"Average",IF(G253&lt;=8,"Good","Excellent")))</f>
        <v>Good</v>
      </c>
      <c r="P253" s="7" t="str">
        <f aca="false">IF(H253&lt;=5,"Low Frequency",IF(H253&lt;=10,"Moderate",IF(H253&lt;=15,"High","Very High")))</f>
        <v>Moderate</v>
      </c>
      <c r="Q253" s="7" t="str">
        <f aca="false">IF(K253&gt;=90,"Highly Satisfied",IF(K253&gt;=75,"Satisfied",IF(K253&gt;=60,"Neutral","Dissatisfied")))</f>
        <v>Highly Satisfied</v>
      </c>
      <c r="R253" s="7" t="str">
        <f aca="false">UPPER(LEFT(TRIM(J253),1))&amp;LOWER(MID(TRIM(J253),2,100))</f>
        <v>Gold</v>
      </c>
      <c r="S253" s="7" t="str">
        <f aca="false">IF(I253="High","Positive",IF(I253="Medium","Neutral","Negative"))</f>
        <v>Positive</v>
      </c>
      <c r="T253" s="7" t="str">
        <f aca="false">IF(AND(E253&gt;=80000,H253&gt;=15),"Premium",IF(AND(E253&gt;=50000,H253&gt;=10),"Standard","Basic"))</f>
        <v>Basic</v>
      </c>
      <c r="U253" s="7" t="str">
        <f aca="false">IF(AND(F253&gt;=7,G253&gt;=7),"High Quality Experience","Review Needed")</f>
        <v>Review Needed</v>
      </c>
      <c r="V253" s="7" t="str">
        <f aca="false">IF(H253&gt;=10,"Repeat Buyer","Occasional Buyer")</f>
        <v>Occasional Buyer</v>
      </c>
      <c r="W253" s="7" t="str">
        <f aca="false">IF(AND(K253&lt;70,I253="Low"),"At Risk","Stable")</f>
        <v>Stable</v>
      </c>
      <c r="X253" s="7" t="str">
        <f aca="false">IF(AND(K253&lt;75,I253="Low",J253="Bronze"),"Priority Followup","No Action")</f>
        <v>No Action</v>
      </c>
    </row>
    <row r="254" customFormat="false" ht="15" hidden="false" customHeight="false" outlineLevel="0" collapsed="false">
      <c r="A254" s="2" t="n">
        <v>252</v>
      </c>
      <c r="B254" s="2" t="n">
        <v>23</v>
      </c>
      <c r="C254" s="2" t="s">
        <v>17</v>
      </c>
      <c r="D254" s="2" t="s">
        <v>22</v>
      </c>
      <c r="E254" s="2" t="n">
        <v>91710</v>
      </c>
      <c r="F254" s="2" t="n">
        <v>1</v>
      </c>
      <c r="G254" s="2" t="n">
        <v>8</v>
      </c>
      <c r="H254" s="2" t="n">
        <v>8</v>
      </c>
      <c r="I254" s="2" t="s">
        <v>21</v>
      </c>
      <c r="J254" s="2" t="s">
        <v>14</v>
      </c>
      <c r="K254" s="2" t="n">
        <v>78.48</v>
      </c>
      <c r="L254" s="8" t="str">
        <f aca="false">IF(B254&lt;25,"Gen Z",IF(B254&lt;40,"Millennial",IF(B254&lt;55,"Gen X","Baby Boomer")))</f>
        <v>Gen Z</v>
      </c>
      <c r="M254" s="8" t="str">
        <f aca="false">IF(E254&lt;50000,"Low Income",IF(E254&lt;80000,"Middle Income",IF(E254&lt;100000,"Upper Middle","High Income")))</f>
        <v>Upper Middle</v>
      </c>
      <c r="N254" s="8" t="str">
        <f aca="false">IF(F254&lt;=3,"Poor",IF(F254&lt;=6,"Average",IF(F254&lt;=8,"Good","Excellent")))</f>
        <v>Poor</v>
      </c>
      <c r="O254" s="8" t="str">
        <f aca="false">IF(G254&lt;=3,"Poor",IF(G254&lt;=6,"Average",IF(G254&lt;=8,"Good","Excellent")))</f>
        <v>Good</v>
      </c>
      <c r="P254" s="8" t="str">
        <f aca="false">IF(H254&lt;=5,"Low Frequency",IF(H254&lt;=10,"Moderate",IF(H254&lt;=15,"High","Very High")))</f>
        <v>Moderate</v>
      </c>
      <c r="Q254" s="8" t="str">
        <f aca="false">IF(K254&gt;=90,"Highly Satisfied",IF(K254&gt;=75,"Satisfied",IF(K254&gt;=60,"Neutral","Dissatisfied")))</f>
        <v>Satisfied</v>
      </c>
      <c r="R254" s="8" t="str">
        <f aca="false">UPPER(LEFT(TRIM(J254),1))&amp;LOWER(MID(TRIM(J254),2,100))</f>
        <v>Bronze</v>
      </c>
      <c r="S254" s="8" t="str">
        <f aca="false">IF(I254="High","Positive",IF(I254="Medium","Neutral","Negative"))</f>
        <v>Positive</v>
      </c>
      <c r="T254" s="8" t="str">
        <f aca="false">IF(AND(E254&gt;=80000,H254&gt;=15),"Premium",IF(AND(E254&gt;=50000,H254&gt;=10),"Standard","Basic"))</f>
        <v>Basic</v>
      </c>
      <c r="U254" s="8" t="str">
        <f aca="false">IF(AND(F254&gt;=7,G254&gt;=7),"High Quality Experience","Review Needed")</f>
        <v>Review Needed</v>
      </c>
      <c r="V254" s="8" t="str">
        <f aca="false">IF(H254&gt;=10,"Repeat Buyer","Occasional Buyer")</f>
        <v>Occasional Buyer</v>
      </c>
      <c r="W254" s="8" t="str">
        <f aca="false">IF(AND(K254&lt;70,I254="Low"),"At Risk","Stable")</f>
        <v>Stable</v>
      </c>
      <c r="X254" s="8" t="str">
        <f aca="false">IF(AND(K254&lt;75,I254="Low",J254="Bronze"),"Priority Followup","No Action")</f>
        <v>No Action</v>
      </c>
    </row>
    <row r="255" customFormat="false" ht="15" hidden="false" customHeight="false" outlineLevel="0" collapsed="false">
      <c r="A255" s="3" t="n">
        <v>253</v>
      </c>
      <c r="B255" s="3" t="n">
        <v>39</v>
      </c>
      <c r="C255" s="3" t="s">
        <v>17</v>
      </c>
      <c r="D255" s="3" t="s">
        <v>20</v>
      </c>
      <c r="E255" s="3" t="n">
        <v>79740</v>
      </c>
      <c r="F255" s="3" t="n">
        <v>6</v>
      </c>
      <c r="G255" s="3" t="n">
        <v>9</v>
      </c>
      <c r="H255" s="3" t="n">
        <v>3</v>
      </c>
      <c r="I255" s="3" t="s">
        <v>15</v>
      </c>
      <c r="J255" s="3" t="s">
        <v>19</v>
      </c>
      <c r="K255" s="3" t="n">
        <v>93.73</v>
      </c>
      <c r="L255" s="7" t="str">
        <f aca="false">IF(B255&lt;25,"Gen Z",IF(B255&lt;40,"Millennial",IF(B255&lt;55,"Gen X","Baby Boomer")))</f>
        <v>Millennial</v>
      </c>
      <c r="M255" s="7" t="str">
        <f aca="false">IF(E255&lt;50000,"Low Income",IF(E255&lt;80000,"Middle Income",IF(E255&lt;100000,"Upper Middle","High Income")))</f>
        <v>Middle Income</v>
      </c>
      <c r="N255" s="7" t="str">
        <f aca="false">IF(F255&lt;=3,"Poor",IF(F255&lt;=6,"Average",IF(F255&lt;=8,"Good","Excellent")))</f>
        <v>Average</v>
      </c>
      <c r="O255" s="7" t="str">
        <f aca="false">IF(G255&lt;=3,"Poor",IF(G255&lt;=6,"Average",IF(G255&lt;=8,"Good","Excellent")))</f>
        <v>Excellent</v>
      </c>
      <c r="P255" s="7" t="str">
        <f aca="false">IF(H255&lt;=5,"Low Frequency",IF(H255&lt;=10,"Moderate",IF(H255&lt;=15,"High","Very High")))</f>
        <v>Low Frequency</v>
      </c>
      <c r="Q255" s="7" t="str">
        <f aca="false">IF(K255&gt;=90,"Highly Satisfied",IF(K255&gt;=75,"Satisfied",IF(K255&gt;=60,"Neutral","Dissatisfied")))</f>
        <v>Highly Satisfied</v>
      </c>
      <c r="R255" s="7" t="str">
        <f aca="false">UPPER(LEFT(TRIM(J255),1))&amp;LOWER(MID(TRIM(J255),2,100))</f>
        <v>Silver</v>
      </c>
      <c r="S255" s="7" t="str">
        <f aca="false">IF(I255="High","Positive",IF(I255="Medium","Neutral","Negative"))</f>
        <v>Neutral</v>
      </c>
      <c r="T255" s="7" t="str">
        <f aca="false">IF(AND(E255&gt;=80000,H255&gt;=15),"Premium",IF(AND(E255&gt;=50000,H255&gt;=10),"Standard","Basic"))</f>
        <v>Basic</v>
      </c>
      <c r="U255" s="7" t="str">
        <f aca="false">IF(AND(F255&gt;=7,G255&gt;=7),"High Quality Experience","Review Needed")</f>
        <v>Review Needed</v>
      </c>
      <c r="V255" s="7" t="str">
        <f aca="false">IF(H255&gt;=10,"Repeat Buyer","Occasional Buyer")</f>
        <v>Occasional Buyer</v>
      </c>
      <c r="W255" s="7" t="str">
        <f aca="false">IF(AND(K255&lt;70,I255="Low"),"At Risk","Stable")</f>
        <v>Stable</v>
      </c>
      <c r="X255" s="7" t="str">
        <f aca="false">IF(AND(K255&lt;75,I255="Low",J255="Bronze"),"Priority Followup","No Action")</f>
        <v>No Action</v>
      </c>
    </row>
    <row r="256" customFormat="false" ht="15" hidden="false" customHeight="false" outlineLevel="0" collapsed="false">
      <c r="A256" s="2" t="n">
        <v>254</v>
      </c>
      <c r="B256" s="2" t="n">
        <v>28</v>
      </c>
      <c r="C256" s="2" t="s">
        <v>11</v>
      </c>
      <c r="D256" s="2" t="s">
        <v>23</v>
      </c>
      <c r="E256" s="2" t="n">
        <v>95195</v>
      </c>
      <c r="F256" s="2" t="n">
        <v>5</v>
      </c>
      <c r="G256" s="2" t="n">
        <v>5</v>
      </c>
      <c r="H256" s="2" t="n">
        <v>19</v>
      </c>
      <c r="I256" s="2" t="s">
        <v>21</v>
      </c>
      <c r="J256" s="2" t="s">
        <v>16</v>
      </c>
      <c r="K256" s="2" t="n">
        <v>86.09</v>
      </c>
      <c r="L256" s="8" t="str">
        <f aca="false">IF(B256&lt;25,"Gen Z",IF(B256&lt;40,"Millennial",IF(B256&lt;55,"Gen X","Baby Boomer")))</f>
        <v>Millennial</v>
      </c>
      <c r="M256" s="8" t="str">
        <f aca="false">IF(E256&lt;50000,"Low Income",IF(E256&lt;80000,"Middle Income",IF(E256&lt;100000,"Upper Middle","High Income")))</f>
        <v>Upper Middle</v>
      </c>
      <c r="N256" s="8" t="str">
        <f aca="false">IF(F256&lt;=3,"Poor",IF(F256&lt;=6,"Average",IF(F256&lt;=8,"Good","Excellent")))</f>
        <v>Average</v>
      </c>
      <c r="O256" s="8" t="str">
        <f aca="false">IF(G256&lt;=3,"Poor",IF(G256&lt;=6,"Average",IF(G256&lt;=8,"Good","Excellent")))</f>
        <v>Average</v>
      </c>
      <c r="P256" s="8" t="str">
        <f aca="false">IF(H256&lt;=5,"Low Frequency",IF(H256&lt;=10,"Moderate",IF(H256&lt;=15,"High","Very High")))</f>
        <v>Very High</v>
      </c>
      <c r="Q256" s="8" t="str">
        <f aca="false">IF(K256&gt;=90,"Highly Satisfied",IF(K256&gt;=75,"Satisfied",IF(K256&gt;=60,"Neutral","Dissatisfied")))</f>
        <v>Satisfied</v>
      </c>
      <c r="R256" s="8" t="str">
        <f aca="false">UPPER(LEFT(TRIM(J256),1))&amp;LOWER(MID(TRIM(J256),2,100))</f>
        <v>Gold</v>
      </c>
      <c r="S256" s="8" t="str">
        <f aca="false">IF(I256="High","Positive",IF(I256="Medium","Neutral","Negative"))</f>
        <v>Positive</v>
      </c>
      <c r="T256" s="8" t="str">
        <f aca="false">IF(AND(E256&gt;=80000,H256&gt;=15),"Premium",IF(AND(E256&gt;=50000,H256&gt;=10),"Standard","Basic"))</f>
        <v>Premium</v>
      </c>
      <c r="U256" s="8" t="str">
        <f aca="false">IF(AND(F256&gt;=7,G256&gt;=7),"High Quality Experience","Review Needed")</f>
        <v>Review Needed</v>
      </c>
      <c r="V256" s="8" t="str">
        <f aca="false">IF(H256&gt;=10,"Repeat Buyer","Occasional Buyer")</f>
        <v>Repeat Buyer</v>
      </c>
      <c r="W256" s="8" t="str">
        <f aca="false">IF(AND(K256&lt;70,I256="Low"),"At Risk","Stable")</f>
        <v>Stable</v>
      </c>
      <c r="X256" s="8" t="str">
        <f aca="false">IF(AND(K256&lt;75,I256="Low",J256="Bronze"),"Priority Followup","No Action")</f>
        <v>No Action</v>
      </c>
    </row>
    <row r="257" customFormat="false" ht="15" hidden="false" customHeight="false" outlineLevel="0" collapsed="false">
      <c r="A257" s="3" t="n">
        <v>255</v>
      </c>
      <c r="B257" s="3" t="n">
        <v>65</v>
      </c>
      <c r="C257" s="3" t="s">
        <v>11</v>
      </c>
      <c r="D257" s="3" t="s">
        <v>18</v>
      </c>
      <c r="E257" s="3" t="n">
        <v>59050</v>
      </c>
      <c r="F257" s="3" t="n">
        <v>7</v>
      </c>
      <c r="G257" s="3" t="n">
        <v>1</v>
      </c>
      <c r="H257" s="3" t="n">
        <v>8</v>
      </c>
      <c r="I257" s="3" t="s">
        <v>15</v>
      </c>
      <c r="J257" s="3" t="s">
        <v>14</v>
      </c>
      <c r="K257" s="3" t="n">
        <v>66.78</v>
      </c>
      <c r="L257" s="7" t="str">
        <f aca="false">IF(B257&lt;25,"Gen Z",IF(B257&lt;40,"Millennial",IF(B257&lt;55,"Gen X","Baby Boomer")))</f>
        <v>Baby Boomer</v>
      </c>
      <c r="M257" s="7" t="str">
        <f aca="false">IF(E257&lt;50000,"Low Income",IF(E257&lt;80000,"Middle Income",IF(E257&lt;100000,"Upper Middle","High Income")))</f>
        <v>Middle Income</v>
      </c>
      <c r="N257" s="7" t="str">
        <f aca="false">IF(F257&lt;=3,"Poor",IF(F257&lt;=6,"Average",IF(F257&lt;=8,"Good","Excellent")))</f>
        <v>Good</v>
      </c>
      <c r="O257" s="7" t="str">
        <f aca="false">IF(G257&lt;=3,"Poor",IF(G257&lt;=6,"Average",IF(G257&lt;=8,"Good","Excellent")))</f>
        <v>Poor</v>
      </c>
      <c r="P257" s="7" t="str">
        <f aca="false">IF(H257&lt;=5,"Low Frequency",IF(H257&lt;=10,"Moderate",IF(H257&lt;=15,"High","Very High")))</f>
        <v>Moderate</v>
      </c>
      <c r="Q257" s="7" t="str">
        <f aca="false">IF(K257&gt;=90,"Highly Satisfied",IF(K257&gt;=75,"Satisfied",IF(K257&gt;=60,"Neutral","Dissatisfied")))</f>
        <v>Neutral</v>
      </c>
      <c r="R257" s="7" t="str">
        <f aca="false">UPPER(LEFT(TRIM(J257),1))&amp;LOWER(MID(TRIM(J257),2,100))</f>
        <v>Bronze</v>
      </c>
      <c r="S257" s="7" t="str">
        <f aca="false">IF(I257="High","Positive",IF(I257="Medium","Neutral","Negative"))</f>
        <v>Neutral</v>
      </c>
      <c r="T257" s="7" t="str">
        <f aca="false">IF(AND(E257&gt;=80000,H257&gt;=15),"Premium",IF(AND(E257&gt;=50000,H257&gt;=10),"Standard","Basic"))</f>
        <v>Basic</v>
      </c>
      <c r="U257" s="7" t="str">
        <f aca="false">IF(AND(F257&gt;=7,G257&gt;=7),"High Quality Experience","Review Needed")</f>
        <v>Review Needed</v>
      </c>
      <c r="V257" s="7" t="str">
        <f aca="false">IF(H257&gt;=10,"Repeat Buyer","Occasional Buyer")</f>
        <v>Occasional Buyer</v>
      </c>
      <c r="W257" s="7" t="str">
        <f aca="false">IF(AND(K257&lt;70,I257="Low"),"At Risk","Stable")</f>
        <v>Stable</v>
      </c>
      <c r="X257" s="7" t="str">
        <f aca="false">IF(AND(K257&lt;75,I257="Low",J257="Bronze"),"Priority Followup","No Action")</f>
        <v>No Action</v>
      </c>
    </row>
    <row r="258" customFormat="false" ht="15" hidden="false" customHeight="false" outlineLevel="0" collapsed="false">
      <c r="A258" s="2" t="n">
        <v>256</v>
      </c>
      <c r="B258" s="2" t="n">
        <v>33</v>
      </c>
      <c r="C258" s="2" t="s">
        <v>11</v>
      </c>
      <c r="D258" s="2" t="s">
        <v>20</v>
      </c>
      <c r="E258" s="2" t="n">
        <v>112862</v>
      </c>
      <c r="F258" s="2" t="n">
        <v>1</v>
      </c>
      <c r="G258" s="2" t="n">
        <v>8</v>
      </c>
      <c r="H258" s="2" t="n">
        <v>17</v>
      </c>
      <c r="I258" s="2" t="s">
        <v>13</v>
      </c>
      <c r="J258" s="2" t="s">
        <v>14</v>
      </c>
      <c r="K258" s="2" t="n">
        <v>100</v>
      </c>
      <c r="L258" s="8" t="str">
        <f aca="false">IF(B258&lt;25,"Gen Z",IF(B258&lt;40,"Millennial",IF(B258&lt;55,"Gen X","Baby Boomer")))</f>
        <v>Millennial</v>
      </c>
      <c r="M258" s="8" t="str">
        <f aca="false">IF(E258&lt;50000,"Low Income",IF(E258&lt;80000,"Middle Income",IF(E258&lt;100000,"Upper Middle","High Income")))</f>
        <v>High Income</v>
      </c>
      <c r="N258" s="8" t="str">
        <f aca="false">IF(F258&lt;=3,"Poor",IF(F258&lt;=6,"Average",IF(F258&lt;=8,"Good","Excellent")))</f>
        <v>Poor</v>
      </c>
      <c r="O258" s="8" t="str">
        <f aca="false">IF(G258&lt;=3,"Poor",IF(G258&lt;=6,"Average",IF(G258&lt;=8,"Good","Excellent")))</f>
        <v>Good</v>
      </c>
      <c r="P258" s="8" t="str">
        <f aca="false">IF(H258&lt;=5,"Low Frequency",IF(H258&lt;=10,"Moderate",IF(H258&lt;=15,"High","Very High")))</f>
        <v>Very High</v>
      </c>
      <c r="Q258" s="8" t="str">
        <f aca="false">IF(K258&gt;=90,"Highly Satisfied",IF(K258&gt;=75,"Satisfied",IF(K258&gt;=60,"Neutral","Dissatisfied")))</f>
        <v>Highly Satisfied</v>
      </c>
      <c r="R258" s="8" t="str">
        <f aca="false">UPPER(LEFT(TRIM(J258),1))&amp;LOWER(MID(TRIM(J258),2,100))</f>
        <v>Bronze</v>
      </c>
      <c r="S258" s="8" t="str">
        <f aca="false">IF(I258="High","Positive",IF(I258="Medium","Neutral","Negative"))</f>
        <v>Negative</v>
      </c>
      <c r="T258" s="8" t="str">
        <f aca="false">IF(AND(E258&gt;=80000,H258&gt;=15),"Premium",IF(AND(E258&gt;=50000,H258&gt;=10),"Standard","Basic"))</f>
        <v>Premium</v>
      </c>
      <c r="U258" s="8" t="str">
        <f aca="false">IF(AND(F258&gt;=7,G258&gt;=7),"High Quality Experience","Review Needed")</f>
        <v>Review Needed</v>
      </c>
      <c r="V258" s="8" t="str">
        <f aca="false">IF(H258&gt;=10,"Repeat Buyer","Occasional Buyer")</f>
        <v>Repeat Buyer</v>
      </c>
      <c r="W258" s="8" t="str">
        <f aca="false">IF(AND(K258&lt;70,I258="Low"),"At Risk","Stable")</f>
        <v>Stable</v>
      </c>
      <c r="X258" s="8" t="str">
        <f aca="false">IF(AND(K258&lt;75,I258="Low",J258="Bronze"),"Priority Followup","No Action")</f>
        <v>No Action</v>
      </c>
    </row>
    <row r="259" customFormat="false" ht="15" hidden="false" customHeight="false" outlineLevel="0" collapsed="false">
      <c r="A259" s="3" t="n">
        <v>257</v>
      </c>
      <c r="B259" s="3" t="n">
        <v>50</v>
      </c>
      <c r="C259" s="3" t="s">
        <v>17</v>
      </c>
      <c r="D259" s="3" t="s">
        <v>20</v>
      </c>
      <c r="E259" s="3" t="n">
        <v>39759</v>
      </c>
      <c r="F259" s="3" t="n">
        <v>7</v>
      </c>
      <c r="G259" s="3" t="n">
        <v>4</v>
      </c>
      <c r="H259" s="3" t="n">
        <v>6</v>
      </c>
      <c r="I259" s="3" t="s">
        <v>15</v>
      </c>
      <c r="J259" s="3" t="s">
        <v>16</v>
      </c>
      <c r="K259" s="3" t="n">
        <v>82.24</v>
      </c>
      <c r="L259" s="7" t="str">
        <f aca="false">IF(B259&lt;25,"Gen Z",IF(B259&lt;40,"Millennial",IF(B259&lt;55,"Gen X","Baby Boomer")))</f>
        <v>Gen X</v>
      </c>
      <c r="M259" s="7" t="str">
        <f aca="false">IF(E259&lt;50000,"Low Income",IF(E259&lt;80000,"Middle Income",IF(E259&lt;100000,"Upper Middle","High Income")))</f>
        <v>Low Income</v>
      </c>
      <c r="N259" s="7" t="str">
        <f aca="false">IF(F259&lt;=3,"Poor",IF(F259&lt;=6,"Average",IF(F259&lt;=8,"Good","Excellent")))</f>
        <v>Good</v>
      </c>
      <c r="O259" s="7" t="str">
        <f aca="false">IF(G259&lt;=3,"Poor",IF(G259&lt;=6,"Average",IF(G259&lt;=8,"Good","Excellent")))</f>
        <v>Average</v>
      </c>
      <c r="P259" s="7" t="str">
        <f aca="false">IF(H259&lt;=5,"Low Frequency",IF(H259&lt;=10,"Moderate",IF(H259&lt;=15,"High","Very High")))</f>
        <v>Moderate</v>
      </c>
      <c r="Q259" s="7" t="str">
        <f aca="false">IF(K259&gt;=90,"Highly Satisfied",IF(K259&gt;=75,"Satisfied",IF(K259&gt;=60,"Neutral","Dissatisfied")))</f>
        <v>Satisfied</v>
      </c>
      <c r="R259" s="7" t="str">
        <f aca="false">UPPER(LEFT(TRIM(J259),1))&amp;LOWER(MID(TRIM(J259),2,100))</f>
        <v>Gold</v>
      </c>
      <c r="S259" s="7" t="str">
        <f aca="false">IF(I259="High","Positive",IF(I259="Medium","Neutral","Negative"))</f>
        <v>Neutral</v>
      </c>
      <c r="T259" s="7" t="str">
        <f aca="false">IF(AND(E259&gt;=80000,H259&gt;=15),"Premium",IF(AND(E259&gt;=50000,H259&gt;=10),"Standard","Basic"))</f>
        <v>Basic</v>
      </c>
      <c r="U259" s="7" t="str">
        <f aca="false">IF(AND(F259&gt;=7,G259&gt;=7),"High Quality Experience","Review Needed")</f>
        <v>Review Needed</v>
      </c>
      <c r="V259" s="7" t="str">
        <f aca="false">IF(H259&gt;=10,"Repeat Buyer","Occasional Buyer")</f>
        <v>Occasional Buyer</v>
      </c>
      <c r="W259" s="7" t="str">
        <f aca="false">IF(AND(K259&lt;70,I259="Low"),"At Risk","Stable")</f>
        <v>Stable</v>
      </c>
      <c r="X259" s="7" t="str">
        <f aca="false">IF(AND(K259&lt;75,I259="Low",J259="Bronze"),"Priority Followup","No Action")</f>
        <v>No Action</v>
      </c>
    </row>
    <row r="260" customFormat="false" ht="15" hidden="false" customHeight="false" outlineLevel="0" collapsed="false">
      <c r="A260" s="2" t="n">
        <v>258</v>
      </c>
      <c r="B260" s="2" t="n">
        <v>26</v>
      </c>
      <c r="C260" s="2" t="s">
        <v>11</v>
      </c>
      <c r="D260" s="2" t="s">
        <v>20</v>
      </c>
      <c r="E260" s="2" t="n">
        <v>115027</v>
      </c>
      <c r="F260" s="2" t="n">
        <v>10</v>
      </c>
      <c r="G260" s="2" t="n">
        <v>6</v>
      </c>
      <c r="H260" s="2" t="n">
        <v>20</v>
      </c>
      <c r="I260" s="2" t="s">
        <v>15</v>
      </c>
      <c r="J260" s="2" t="s">
        <v>16</v>
      </c>
      <c r="K260" s="2" t="n">
        <v>100</v>
      </c>
      <c r="L260" s="8" t="str">
        <f aca="false">IF(B260&lt;25,"Gen Z",IF(B260&lt;40,"Millennial",IF(B260&lt;55,"Gen X","Baby Boomer")))</f>
        <v>Millennial</v>
      </c>
      <c r="M260" s="8" t="str">
        <f aca="false">IF(E260&lt;50000,"Low Income",IF(E260&lt;80000,"Middle Income",IF(E260&lt;100000,"Upper Middle","High Income")))</f>
        <v>High Income</v>
      </c>
      <c r="N260" s="8" t="str">
        <f aca="false">IF(F260&lt;=3,"Poor",IF(F260&lt;=6,"Average",IF(F260&lt;=8,"Good","Excellent")))</f>
        <v>Excellent</v>
      </c>
      <c r="O260" s="8" t="str">
        <f aca="false">IF(G260&lt;=3,"Poor",IF(G260&lt;=6,"Average",IF(G260&lt;=8,"Good","Excellent")))</f>
        <v>Average</v>
      </c>
      <c r="P260" s="8" t="str">
        <f aca="false">IF(H260&lt;=5,"Low Frequency",IF(H260&lt;=10,"Moderate",IF(H260&lt;=15,"High","Very High")))</f>
        <v>Very High</v>
      </c>
      <c r="Q260" s="8" t="str">
        <f aca="false">IF(K260&gt;=90,"Highly Satisfied",IF(K260&gt;=75,"Satisfied",IF(K260&gt;=60,"Neutral","Dissatisfied")))</f>
        <v>Highly Satisfied</v>
      </c>
      <c r="R260" s="8" t="str">
        <f aca="false">UPPER(LEFT(TRIM(J260),1))&amp;LOWER(MID(TRIM(J260),2,100))</f>
        <v>Gold</v>
      </c>
      <c r="S260" s="8" t="str">
        <f aca="false">IF(I260="High","Positive",IF(I260="Medium","Neutral","Negative"))</f>
        <v>Neutral</v>
      </c>
      <c r="T260" s="8" t="str">
        <f aca="false">IF(AND(E260&gt;=80000,H260&gt;=15),"Premium",IF(AND(E260&gt;=50000,H260&gt;=10),"Standard","Basic"))</f>
        <v>Premium</v>
      </c>
      <c r="U260" s="8" t="str">
        <f aca="false">IF(AND(F260&gt;=7,G260&gt;=7),"High Quality Experience","Review Needed")</f>
        <v>Review Needed</v>
      </c>
      <c r="V260" s="8" t="str">
        <f aca="false">IF(H260&gt;=10,"Repeat Buyer","Occasional Buyer")</f>
        <v>Repeat Buyer</v>
      </c>
      <c r="W260" s="8" t="str">
        <f aca="false">IF(AND(K260&lt;70,I260="Low"),"At Risk","Stable")</f>
        <v>Stable</v>
      </c>
      <c r="X260" s="8" t="str">
        <f aca="false">IF(AND(K260&lt;75,I260="Low",J260="Bronze"),"Priority Followup","No Action")</f>
        <v>No Action</v>
      </c>
    </row>
    <row r="261" customFormat="false" ht="15" hidden="false" customHeight="false" outlineLevel="0" collapsed="false">
      <c r="A261" s="3" t="n">
        <v>259</v>
      </c>
      <c r="B261" s="3" t="n">
        <v>23</v>
      </c>
      <c r="C261" s="3" t="s">
        <v>11</v>
      </c>
      <c r="D261" s="3" t="s">
        <v>22</v>
      </c>
      <c r="E261" s="3" t="n">
        <v>31712</v>
      </c>
      <c r="F261" s="3" t="n">
        <v>2</v>
      </c>
      <c r="G261" s="3" t="n">
        <v>7</v>
      </c>
      <c r="H261" s="3" t="n">
        <v>14</v>
      </c>
      <c r="I261" s="3" t="s">
        <v>21</v>
      </c>
      <c r="J261" s="3" t="s">
        <v>16</v>
      </c>
      <c r="K261" s="3" t="n">
        <v>69.13</v>
      </c>
      <c r="L261" s="7" t="str">
        <f aca="false">IF(B261&lt;25,"Gen Z",IF(B261&lt;40,"Millennial",IF(B261&lt;55,"Gen X","Baby Boomer")))</f>
        <v>Gen Z</v>
      </c>
      <c r="M261" s="7" t="str">
        <f aca="false">IF(E261&lt;50000,"Low Income",IF(E261&lt;80000,"Middle Income",IF(E261&lt;100000,"Upper Middle","High Income")))</f>
        <v>Low Income</v>
      </c>
      <c r="N261" s="7" t="str">
        <f aca="false">IF(F261&lt;=3,"Poor",IF(F261&lt;=6,"Average",IF(F261&lt;=8,"Good","Excellent")))</f>
        <v>Poor</v>
      </c>
      <c r="O261" s="7" t="str">
        <f aca="false">IF(G261&lt;=3,"Poor",IF(G261&lt;=6,"Average",IF(G261&lt;=8,"Good","Excellent")))</f>
        <v>Good</v>
      </c>
      <c r="P261" s="7" t="str">
        <f aca="false">IF(H261&lt;=5,"Low Frequency",IF(H261&lt;=10,"Moderate",IF(H261&lt;=15,"High","Very High")))</f>
        <v>High</v>
      </c>
      <c r="Q261" s="7" t="str">
        <f aca="false">IF(K261&gt;=90,"Highly Satisfied",IF(K261&gt;=75,"Satisfied",IF(K261&gt;=60,"Neutral","Dissatisfied")))</f>
        <v>Neutral</v>
      </c>
      <c r="R261" s="7" t="str">
        <f aca="false">UPPER(LEFT(TRIM(J261),1))&amp;LOWER(MID(TRIM(J261),2,100))</f>
        <v>Gold</v>
      </c>
      <c r="S261" s="7" t="str">
        <f aca="false">IF(I261="High","Positive",IF(I261="Medium","Neutral","Negative"))</f>
        <v>Positive</v>
      </c>
      <c r="T261" s="7" t="str">
        <f aca="false">IF(AND(E261&gt;=80000,H261&gt;=15),"Premium",IF(AND(E261&gt;=50000,H261&gt;=10),"Standard","Basic"))</f>
        <v>Basic</v>
      </c>
      <c r="U261" s="7" t="str">
        <f aca="false">IF(AND(F261&gt;=7,G261&gt;=7),"High Quality Experience","Review Needed")</f>
        <v>Review Needed</v>
      </c>
      <c r="V261" s="7" t="str">
        <f aca="false">IF(H261&gt;=10,"Repeat Buyer","Occasional Buyer")</f>
        <v>Repeat Buyer</v>
      </c>
      <c r="W261" s="7" t="str">
        <f aca="false">IF(AND(K261&lt;70,I261="Low"),"At Risk","Stable")</f>
        <v>Stable</v>
      </c>
      <c r="X261" s="7" t="str">
        <f aca="false">IF(AND(K261&lt;75,I261="Low",J261="Bronze"),"Priority Followup","No Action")</f>
        <v>No Action</v>
      </c>
    </row>
    <row r="262" customFormat="false" ht="15" hidden="false" customHeight="false" outlineLevel="0" collapsed="false">
      <c r="A262" s="2" t="n">
        <v>260</v>
      </c>
      <c r="B262" s="2" t="n">
        <v>33</v>
      </c>
      <c r="C262" s="2" t="s">
        <v>17</v>
      </c>
      <c r="D262" s="2" t="s">
        <v>18</v>
      </c>
      <c r="E262" s="2" t="n">
        <v>78564</v>
      </c>
      <c r="F262" s="2" t="n">
        <v>7</v>
      </c>
      <c r="G262" s="2" t="n">
        <v>5</v>
      </c>
      <c r="H262" s="2" t="n">
        <v>20</v>
      </c>
      <c r="I262" s="2" t="s">
        <v>15</v>
      </c>
      <c r="J262" s="2" t="s">
        <v>19</v>
      </c>
      <c r="K262" s="2" t="n">
        <v>100</v>
      </c>
      <c r="L262" s="8" t="str">
        <f aca="false">IF(B262&lt;25,"Gen Z",IF(B262&lt;40,"Millennial",IF(B262&lt;55,"Gen X","Baby Boomer")))</f>
        <v>Millennial</v>
      </c>
      <c r="M262" s="8" t="str">
        <f aca="false">IF(E262&lt;50000,"Low Income",IF(E262&lt;80000,"Middle Income",IF(E262&lt;100000,"Upper Middle","High Income")))</f>
        <v>Middle Income</v>
      </c>
      <c r="N262" s="8" t="str">
        <f aca="false">IF(F262&lt;=3,"Poor",IF(F262&lt;=6,"Average",IF(F262&lt;=8,"Good","Excellent")))</f>
        <v>Good</v>
      </c>
      <c r="O262" s="8" t="str">
        <f aca="false">IF(G262&lt;=3,"Poor",IF(G262&lt;=6,"Average",IF(G262&lt;=8,"Good","Excellent")))</f>
        <v>Average</v>
      </c>
      <c r="P262" s="8" t="str">
        <f aca="false">IF(H262&lt;=5,"Low Frequency",IF(H262&lt;=10,"Moderate",IF(H262&lt;=15,"High","Very High")))</f>
        <v>Very High</v>
      </c>
      <c r="Q262" s="8" t="str">
        <f aca="false">IF(K262&gt;=90,"Highly Satisfied",IF(K262&gt;=75,"Satisfied",IF(K262&gt;=60,"Neutral","Dissatisfied")))</f>
        <v>Highly Satisfied</v>
      </c>
      <c r="R262" s="8" t="str">
        <f aca="false">UPPER(LEFT(TRIM(J262),1))&amp;LOWER(MID(TRIM(J262),2,100))</f>
        <v>Silver</v>
      </c>
      <c r="S262" s="8" t="str">
        <f aca="false">IF(I262="High","Positive",IF(I262="Medium","Neutral","Negative"))</f>
        <v>Neutral</v>
      </c>
      <c r="T262" s="8" t="str">
        <f aca="false">IF(AND(E262&gt;=80000,H262&gt;=15),"Premium",IF(AND(E262&gt;=50000,H262&gt;=10),"Standard","Basic"))</f>
        <v>Standard</v>
      </c>
      <c r="U262" s="8" t="str">
        <f aca="false">IF(AND(F262&gt;=7,G262&gt;=7),"High Quality Experience","Review Needed")</f>
        <v>Review Needed</v>
      </c>
      <c r="V262" s="8" t="str">
        <f aca="false">IF(H262&gt;=10,"Repeat Buyer","Occasional Buyer")</f>
        <v>Repeat Buyer</v>
      </c>
      <c r="W262" s="8" t="str">
        <f aca="false">IF(AND(K262&lt;70,I262="Low"),"At Risk","Stable")</f>
        <v>Stable</v>
      </c>
      <c r="X262" s="8" t="str">
        <f aca="false">IF(AND(K262&lt;75,I262="Low",J262="Bronze"),"Priority Followup","No Action")</f>
        <v>No Action</v>
      </c>
    </row>
    <row r="263" customFormat="false" ht="15" hidden="false" customHeight="false" outlineLevel="0" collapsed="false">
      <c r="A263" s="3" t="n">
        <v>261</v>
      </c>
      <c r="B263" s="3" t="n">
        <v>46</v>
      </c>
      <c r="C263" s="3" t="s">
        <v>11</v>
      </c>
      <c r="D263" s="3" t="s">
        <v>18</v>
      </c>
      <c r="E263" s="3" t="n">
        <v>79558</v>
      </c>
      <c r="F263" s="3" t="n">
        <v>10</v>
      </c>
      <c r="G263" s="3" t="n">
        <v>9</v>
      </c>
      <c r="H263" s="3" t="n">
        <v>12</v>
      </c>
      <c r="I263" s="3" t="s">
        <v>13</v>
      </c>
      <c r="J263" s="3" t="s">
        <v>16</v>
      </c>
      <c r="K263" s="3" t="n">
        <v>100</v>
      </c>
      <c r="L263" s="7" t="str">
        <f aca="false">IF(B263&lt;25,"Gen Z",IF(B263&lt;40,"Millennial",IF(B263&lt;55,"Gen X","Baby Boomer")))</f>
        <v>Gen X</v>
      </c>
      <c r="M263" s="7" t="str">
        <f aca="false">IF(E263&lt;50000,"Low Income",IF(E263&lt;80000,"Middle Income",IF(E263&lt;100000,"Upper Middle","High Income")))</f>
        <v>Middle Income</v>
      </c>
      <c r="N263" s="7" t="str">
        <f aca="false">IF(F263&lt;=3,"Poor",IF(F263&lt;=6,"Average",IF(F263&lt;=8,"Good","Excellent")))</f>
        <v>Excellent</v>
      </c>
      <c r="O263" s="7" t="str">
        <f aca="false">IF(G263&lt;=3,"Poor",IF(G263&lt;=6,"Average",IF(G263&lt;=8,"Good","Excellent")))</f>
        <v>Excellent</v>
      </c>
      <c r="P263" s="7" t="str">
        <f aca="false">IF(H263&lt;=5,"Low Frequency",IF(H263&lt;=10,"Moderate",IF(H263&lt;=15,"High","Very High")))</f>
        <v>High</v>
      </c>
      <c r="Q263" s="7" t="str">
        <f aca="false">IF(K263&gt;=90,"Highly Satisfied",IF(K263&gt;=75,"Satisfied",IF(K263&gt;=60,"Neutral","Dissatisfied")))</f>
        <v>Highly Satisfied</v>
      </c>
      <c r="R263" s="7" t="str">
        <f aca="false">UPPER(LEFT(TRIM(J263),1))&amp;LOWER(MID(TRIM(J263),2,100))</f>
        <v>Gold</v>
      </c>
      <c r="S263" s="7" t="str">
        <f aca="false">IF(I263="High","Positive",IF(I263="Medium","Neutral","Negative"))</f>
        <v>Negative</v>
      </c>
      <c r="T263" s="7" t="str">
        <f aca="false">IF(AND(E263&gt;=80000,H263&gt;=15),"Premium",IF(AND(E263&gt;=50000,H263&gt;=10),"Standard","Basic"))</f>
        <v>Standard</v>
      </c>
      <c r="U263" s="7" t="str">
        <f aca="false">IF(AND(F263&gt;=7,G263&gt;=7),"High Quality Experience","Review Needed")</f>
        <v>High Quality Experience</v>
      </c>
      <c r="V263" s="7" t="str">
        <f aca="false">IF(H263&gt;=10,"Repeat Buyer","Occasional Buyer")</f>
        <v>Repeat Buyer</v>
      </c>
      <c r="W263" s="7" t="str">
        <f aca="false">IF(AND(K263&lt;70,I263="Low"),"At Risk","Stable")</f>
        <v>Stable</v>
      </c>
      <c r="X263" s="7" t="str">
        <f aca="false">IF(AND(K263&lt;75,I263="Low",J263="Bronze"),"Priority Followup","No Action")</f>
        <v>No Action</v>
      </c>
    </row>
    <row r="264" customFormat="false" ht="15" hidden="false" customHeight="false" outlineLevel="0" collapsed="false">
      <c r="A264" s="2" t="n">
        <v>262</v>
      </c>
      <c r="B264" s="2" t="n">
        <v>20</v>
      </c>
      <c r="C264" s="2" t="s">
        <v>17</v>
      </c>
      <c r="D264" s="2" t="s">
        <v>23</v>
      </c>
      <c r="E264" s="2" t="n">
        <v>119233</v>
      </c>
      <c r="F264" s="2" t="n">
        <v>2</v>
      </c>
      <c r="G264" s="2" t="n">
        <v>1</v>
      </c>
      <c r="H264" s="2" t="n">
        <v>15</v>
      </c>
      <c r="I264" s="2" t="s">
        <v>13</v>
      </c>
      <c r="J264" s="2" t="s">
        <v>19</v>
      </c>
      <c r="K264" s="2" t="n">
        <v>73.23</v>
      </c>
      <c r="L264" s="8" t="str">
        <f aca="false">IF(B264&lt;25,"Gen Z",IF(B264&lt;40,"Millennial",IF(B264&lt;55,"Gen X","Baby Boomer")))</f>
        <v>Gen Z</v>
      </c>
      <c r="M264" s="8" t="str">
        <f aca="false">IF(E264&lt;50000,"Low Income",IF(E264&lt;80000,"Middle Income",IF(E264&lt;100000,"Upper Middle","High Income")))</f>
        <v>High Income</v>
      </c>
      <c r="N264" s="8" t="str">
        <f aca="false">IF(F264&lt;=3,"Poor",IF(F264&lt;=6,"Average",IF(F264&lt;=8,"Good","Excellent")))</f>
        <v>Poor</v>
      </c>
      <c r="O264" s="8" t="str">
        <f aca="false">IF(G264&lt;=3,"Poor",IF(G264&lt;=6,"Average",IF(G264&lt;=8,"Good","Excellent")))</f>
        <v>Poor</v>
      </c>
      <c r="P264" s="8" t="str">
        <f aca="false">IF(H264&lt;=5,"Low Frequency",IF(H264&lt;=10,"Moderate",IF(H264&lt;=15,"High","Very High")))</f>
        <v>High</v>
      </c>
      <c r="Q264" s="8" t="str">
        <f aca="false">IF(K264&gt;=90,"Highly Satisfied",IF(K264&gt;=75,"Satisfied",IF(K264&gt;=60,"Neutral","Dissatisfied")))</f>
        <v>Neutral</v>
      </c>
      <c r="R264" s="8" t="str">
        <f aca="false">UPPER(LEFT(TRIM(J264),1))&amp;LOWER(MID(TRIM(J264),2,100))</f>
        <v>Silver</v>
      </c>
      <c r="S264" s="8" t="str">
        <f aca="false">IF(I264="High","Positive",IF(I264="Medium","Neutral","Negative"))</f>
        <v>Negative</v>
      </c>
      <c r="T264" s="8" t="str">
        <f aca="false">IF(AND(E264&gt;=80000,H264&gt;=15),"Premium",IF(AND(E264&gt;=50000,H264&gt;=10),"Standard","Basic"))</f>
        <v>Premium</v>
      </c>
      <c r="U264" s="8" t="str">
        <f aca="false">IF(AND(F264&gt;=7,G264&gt;=7),"High Quality Experience","Review Needed")</f>
        <v>Review Needed</v>
      </c>
      <c r="V264" s="8" t="str">
        <f aca="false">IF(H264&gt;=10,"Repeat Buyer","Occasional Buyer")</f>
        <v>Repeat Buyer</v>
      </c>
      <c r="W264" s="8" t="str">
        <f aca="false">IF(AND(K264&lt;70,I264="Low"),"At Risk","Stable")</f>
        <v>Stable</v>
      </c>
      <c r="X264" s="8" t="str">
        <f aca="false">IF(AND(K264&lt;75,I264="Low",J264="Bronze"),"Priority Followup","No Action")</f>
        <v>No Action</v>
      </c>
    </row>
    <row r="265" customFormat="false" ht="15" hidden="false" customHeight="false" outlineLevel="0" collapsed="false">
      <c r="A265" s="3" t="n">
        <v>263</v>
      </c>
      <c r="B265" s="3" t="n">
        <v>37</v>
      </c>
      <c r="C265" s="3" t="s">
        <v>11</v>
      </c>
      <c r="D265" s="3" t="s">
        <v>23</v>
      </c>
      <c r="E265" s="3" t="n">
        <v>93883</v>
      </c>
      <c r="F265" s="3" t="n">
        <v>3</v>
      </c>
      <c r="G265" s="3" t="n">
        <v>8</v>
      </c>
      <c r="H265" s="3" t="n">
        <v>12</v>
      </c>
      <c r="I265" s="3" t="s">
        <v>15</v>
      </c>
      <c r="J265" s="3" t="s">
        <v>19</v>
      </c>
      <c r="K265" s="3" t="n">
        <v>89.01</v>
      </c>
      <c r="L265" s="7" t="str">
        <f aca="false">IF(B265&lt;25,"Gen Z",IF(B265&lt;40,"Millennial",IF(B265&lt;55,"Gen X","Baby Boomer")))</f>
        <v>Millennial</v>
      </c>
      <c r="M265" s="7" t="str">
        <f aca="false">IF(E265&lt;50000,"Low Income",IF(E265&lt;80000,"Middle Income",IF(E265&lt;100000,"Upper Middle","High Income")))</f>
        <v>Upper Middle</v>
      </c>
      <c r="N265" s="7" t="str">
        <f aca="false">IF(F265&lt;=3,"Poor",IF(F265&lt;=6,"Average",IF(F265&lt;=8,"Good","Excellent")))</f>
        <v>Poor</v>
      </c>
      <c r="O265" s="7" t="str">
        <f aca="false">IF(G265&lt;=3,"Poor",IF(G265&lt;=6,"Average",IF(G265&lt;=8,"Good","Excellent")))</f>
        <v>Good</v>
      </c>
      <c r="P265" s="7" t="str">
        <f aca="false">IF(H265&lt;=5,"Low Frequency",IF(H265&lt;=10,"Moderate",IF(H265&lt;=15,"High","Very High")))</f>
        <v>High</v>
      </c>
      <c r="Q265" s="7" t="str">
        <f aca="false">IF(K265&gt;=90,"Highly Satisfied",IF(K265&gt;=75,"Satisfied",IF(K265&gt;=60,"Neutral","Dissatisfied")))</f>
        <v>Satisfied</v>
      </c>
      <c r="R265" s="7" t="str">
        <f aca="false">UPPER(LEFT(TRIM(J265),1))&amp;LOWER(MID(TRIM(J265),2,100))</f>
        <v>Silver</v>
      </c>
      <c r="S265" s="7" t="str">
        <f aca="false">IF(I265="High","Positive",IF(I265="Medium","Neutral","Negative"))</f>
        <v>Neutral</v>
      </c>
      <c r="T265" s="7" t="str">
        <f aca="false">IF(AND(E265&gt;=80000,H265&gt;=15),"Premium",IF(AND(E265&gt;=50000,H265&gt;=10),"Standard","Basic"))</f>
        <v>Standard</v>
      </c>
      <c r="U265" s="7" t="str">
        <f aca="false">IF(AND(F265&gt;=7,G265&gt;=7),"High Quality Experience","Review Needed")</f>
        <v>Review Needed</v>
      </c>
      <c r="V265" s="7" t="str">
        <f aca="false">IF(H265&gt;=10,"Repeat Buyer","Occasional Buyer")</f>
        <v>Repeat Buyer</v>
      </c>
      <c r="W265" s="7" t="str">
        <f aca="false">IF(AND(K265&lt;70,I265="Low"),"At Risk","Stable")</f>
        <v>Stable</v>
      </c>
      <c r="X265" s="7" t="str">
        <f aca="false">IF(AND(K265&lt;75,I265="Low",J265="Bronze"),"Priority Followup","No Action")</f>
        <v>No Action</v>
      </c>
    </row>
    <row r="266" customFormat="false" ht="15" hidden="false" customHeight="false" outlineLevel="0" collapsed="false">
      <c r="A266" s="2" t="n">
        <v>264</v>
      </c>
      <c r="B266" s="2" t="n">
        <v>53</v>
      </c>
      <c r="C266" s="2" t="s">
        <v>17</v>
      </c>
      <c r="D266" s="2" t="s">
        <v>20</v>
      </c>
      <c r="E266" s="2" t="n">
        <v>55430</v>
      </c>
      <c r="F266" s="2" t="n">
        <v>7</v>
      </c>
      <c r="G266" s="2" t="n">
        <v>7</v>
      </c>
      <c r="H266" s="2" t="n">
        <v>16</v>
      </c>
      <c r="I266" s="2" t="s">
        <v>15</v>
      </c>
      <c r="J266" s="2" t="s">
        <v>16</v>
      </c>
      <c r="K266" s="2" t="n">
        <v>100</v>
      </c>
      <c r="L266" s="8" t="str">
        <f aca="false">IF(B266&lt;25,"Gen Z",IF(B266&lt;40,"Millennial",IF(B266&lt;55,"Gen X","Baby Boomer")))</f>
        <v>Gen X</v>
      </c>
      <c r="M266" s="8" t="str">
        <f aca="false">IF(E266&lt;50000,"Low Income",IF(E266&lt;80000,"Middle Income",IF(E266&lt;100000,"Upper Middle","High Income")))</f>
        <v>Middle Income</v>
      </c>
      <c r="N266" s="8" t="str">
        <f aca="false">IF(F266&lt;=3,"Poor",IF(F266&lt;=6,"Average",IF(F266&lt;=8,"Good","Excellent")))</f>
        <v>Good</v>
      </c>
      <c r="O266" s="8" t="str">
        <f aca="false">IF(G266&lt;=3,"Poor",IF(G266&lt;=6,"Average",IF(G266&lt;=8,"Good","Excellent")))</f>
        <v>Good</v>
      </c>
      <c r="P266" s="8" t="str">
        <f aca="false">IF(H266&lt;=5,"Low Frequency",IF(H266&lt;=10,"Moderate",IF(H266&lt;=15,"High","Very High")))</f>
        <v>Very High</v>
      </c>
      <c r="Q266" s="8" t="str">
        <f aca="false">IF(K266&gt;=90,"Highly Satisfied",IF(K266&gt;=75,"Satisfied",IF(K266&gt;=60,"Neutral","Dissatisfied")))</f>
        <v>Highly Satisfied</v>
      </c>
      <c r="R266" s="8" t="str">
        <f aca="false">UPPER(LEFT(TRIM(J266),1))&amp;LOWER(MID(TRIM(J266),2,100))</f>
        <v>Gold</v>
      </c>
      <c r="S266" s="8" t="str">
        <f aca="false">IF(I266="High","Positive",IF(I266="Medium","Neutral","Negative"))</f>
        <v>Neutral</v>
      </c>
      <c r="T266" s="8" t="str">
        <f aca="false">IF(AND(E266&gt;=80000,H266&gt;=15),"Premium",IF(AND(E266&gt;=50000,H266&gt;=10),"Standard","Basic"))</f>
        <v>Standard</v>
      </c>
      <c r="U266" s="8" t="str">
        <f aca="false">IF(AND(F266&gt;=7,G266&gt;=7),"High Quality Experience","Review Needed")</f>
        <v>High Quality Experience</v>
      </c>
      <c r="V266" s="8" t="str">
        <f aca="false">IF(H266&gt;=10,"Repeat Buyer","Occasional Buyer")</f>
        <v>Repeat Buyer</v>
      </c>
      <c r="W266" s="8" t="str">
        <f aca="false">IF(AND(K266&lt;70,I266="Low"),"At Risk","Stable")</f>
        <v>Stable</v>
      </c>
      <c r="X266" s="8" t="str">
        <f aca="false">IF(AND(K266&lt;75,I266="Low",J266="Bronze"),"Priority Followup","No Action")</f>
        <v>No Action</v>
      </c>
    </row>
    <row r="267" customFormat="false" ht="15" hidden="false" customHeight="false" outlineLevel="0" collapsed="false">
      <c r="A267" s="3" t="n">
        <v>265</v>
      </c>
      <c r="B267" s="3" t="n">
        <v>36</v>
      </c>
      <c r="C267" s="3" t="s">
        <v>17</v>
      </c>
      <c r="D267" s="3" t="s">
        <v>18</v>
      </c>
      <c r="E267" s="3" t="n">
        <v>53933</v>
      </c>
      <c r="F267" s="3" t="n">
        <v>2</v>
      </c>
      <c r="G267" s="3" t="n">
        <v>3</v>
      </c>
      <c r="H267" s="3" t="n">
        <v>14</v>
      </c>
      <c r="I267" s="3" t="s">
        <v>21</v>
      </c>
      <c r="J267" s="3" t="s">
        <v>19</v>
      </c>
      <c r="K267" s="3" t="n">
        <v>55.66</v>
      </c>
      <c r="L267" s="7" t="str">
        <f aca="false">IF(B267&lt;25,"Gen Z",IF(B267&lt;40,"Millennial",IF(B267&lt;55,"Gen X","Baby Boomer")))</f>
        <v>Millennial</v>
      </c>
      <c r="M267" s="7" t="str">
        <f aca="false">IF(E267&lt;50000,"Low Income",IF(E267&lt;80000,"Middle Income",IF(E267&lt;100000,"Upper Middle","High Income")))</f>
        <v>Middle Income</v>
      </c>
      <c r="N267" s="7" t="str">
        <f aca="false">IF(F267&lt;=3,"Poor",IF(F267&lt;=6,"Average",IF(F267&lt;=8,"Good","Excellent")))</f>
        <v>Poor</v>
      </c>
      <c r="O267" s="7" t="str">
        <f aca="false">IF(G267&lt;=3,"Poor",IF(G267&lt;=6,"Average",IF(G267&lt;=8,"Good","Excellent")))</f>
        <v>Poor</v>
      </c>
      <c r="P267" s="7" t="str">
        <f aca="false">IF(H267&lt;=5,"Low Frequency",IF(H267&lt;=10,"Moderate",IF(H267&lt;=15,"High","Very High")))</f>
        <v>High</v>
      </c>
      <c r="Q267" s="7" t="str">
        <f aca="false">IF(K267&gt;=90,"Highly Satisfied",IF(K267&gt;=75,"Satisfied",IF(K267&gt;=60,"Neutral","Dissatisfied")))</f>
        <v>Dissatisfied</v>
      </c>
      <c r="R267" s="7" t="str">
        <f aca="false">UPPER(LEFT(TRIM(J267),1))&amp;LOWER(MID(TRIM(J267),2,100))</f>
        <v>Silver</v>
      </c>
      <c r="S267" s="7" t="str">
        <f aca="false">IF(I267="High","Positive",IF(I267="Medium","Neutral","Negative"))</f>
        <v>Positive</v>
      </c>
      <c r="T267" s="7" t="str">
        <f aca="false">IF(AND(E267&gt;=80000,H267&gt;=15),"Premium",IF(AND(E267&gt;=50000,H267&gt;=10),"Standard","Basic"))</f>
        <v>Standard</v>
      </c>
      <c r="U267" s="7" t="str">
        <f aca="false">IF(AND(F267&gt;=7,G267&gt;=7),"High Quality Experience","Review Needed")</f>
        <v>Review Needed</v>
      </c>
      <c r="V267" s="7" t="str">
        <f aca="false">IF(H267&gt;=10,"Repeat Buyer","Occasional Buyer")</f>
        <v>Repeat Buyer</v>
      </c>
      <c r="W267" s="7" t="str">
        <f aca="false">IF(AND(K267&lt;70,I267="Low"),"At Risk","Stable")</f>
        <v>Stable</v>
      </c>
      <c r="X267" s="7" t="str">
        <f aca="false">IF(AND(K267&lt;75,I267="Low",J267="Bronze"),"Priority Followup","No Action")</f>
        <v>No Action</v>
      </c>
    </row>
    <row r="268" customFormat="false" ht="15" hidden="false" customHeight="false" outlineLevel="0" collapsed="false">
      <c r="A268" s="2" t="n">
        <v>266</v>
      </c>
      <c r="B268" s="2" t="n">
        <v>43</v>
      </c>
      <c r="C268" s="2" t="s">
        <v>17</v>
      </c>
      <c r="D268" s="2" t="s">
        <v>18</v>
      </c>
      <c r="E268" s="2" t="n">
        <v>117169</v>
      </c>
      <c r="F268" s="2" t="n">
        <v>4</v>
      </c>
      <c r="G268" s="2" t="n">
        <v>1</v>
      </c>
      <c r="H268" s="2" t="n">
        <v>2</v>
      </c>
      <c r="I268" s="2" t="s">
        <v>13</v>
      </c>
      <c r="J268" s="2" t="s">
        <v>19</v>
      </c>
      <c r="K268" s="2" t="n">
        <v>70.48</v>
      </c>
      <c r="L268" s="8" t="str">
        <f aca="false">IF(B268&lt;25,"Gen Z",IF(B268&lt;40,"Millennial",IF(B268&lt;55,"Gen X","Baby Boomer")))</f>
        <v>Gen X</v>
      </c>
      <c r="M268" s="8" t="str">
        <f aca="false">IF(E268&lt;50000,"Low Income",IF(E268&lt;80000,"Middle Income",IF(E268&lt;100000,"Upper Middle","High Income")))</f>
        <v>High Income</v>
      </c>
      <c r="N268" s="8" t="str">
        <f aca="false">IF(F268&lt;=3,"Poor",IF(F268&lt;=6,"Average",IF(F268&lt;=8,"Good","Excellent")))</f>
        <v>Average</v>
      </c>
      <c r="O268" s="8" t="str">
        <f aca="false">IF(G268&lt;=3,"Poor",IF(G268&lt;=6,"Average",IF(G268&lt;=8,"Good","Excellent")))</f>
        <v>Poor</v>
      </c>
      <c r="P268" s="8" t="str">
        <f aca="false">IF(H268&lt;=5,"Low Frequency",IF(H268&lt;=10,"Moderate",IF(H268&lt;=15,"High","Very High")))</f>
        <v>Low Frequency</v>
      </c>
      <c r="Q268" s="8" t="str">
        <f aca="false">IF(K268&gt;=90,"Highly Satisfied",IF(K268&gt;=75,"Satisfied",IF(K268&gt;=60,"Neutral","Dissatisfied")))</f>
        <v>Neutral</v>
      </c>
      <c r="R268" s="8" t="str">
        <f aca="false">UPPER(LEFT(TRIM(J268),1))&amp;LOWER(MID(TRIM(J268),2,100))</f>
        <v>Silver</v>
      </c>
      <c r="S268" s="8" t="str">
        <f aca="false">IF(I268="High","Positive",IF(I268="Medium","Neutral","Negative"))</f>
        <v>Negative</v>
      </c>
      <c r="T268" s="8" t="str">
        <f aca="false">IF(AND(E268&gt;=80000,H268&gt;=15),"Premium",IF(AND(E268&gt;=50000,H268&gt;=10),"Standard","Basic"))</f>
        <v>Basic</v>
      </c>
      <c r="U268" s="8" t="str">
        <f aca="false">IF(AND(F268&gt;=7,G268&gt;=7),"High Quality Experience","Review Needed")</f>
        <v>Review Needed</v>
      </c>
      <c r="V268" s="8" t="str">
        <f aca="false">IF(H268&gt;=10,"Repeat Buyer","Occasional Buyer")</f>
        <v>Occasional Buyer</v>
      </c>
      <c r="W268" s="8" t="str">
        <f aca="false">IF(AND(K268&lt;70,I268="Low"),"At Risk","Stable")</f>
        <v>Stable</v>
      </c>
      <c r="X268" s="8" t="str">
        <f aca="false">IF(AND(K268&lt;75,I268="Low",J268="Bronze"),"Priority Followup","No Action")</f>
        <v>No Action</v>
      </c>
    </row>
    <row r="269" customFormat="false" ht="15" hidden="false" customHeight="false" outlineLevel="0" collapsed="false">
      <c r="A269" s="3" t="n">
        <v>267</v>
      </c>
      <c r="B269" s="3" t="n">
        <v>20</v>
      </c>
      <c r="C269" s="3" t="s">
        <v>17</v>
      </c>
      <c r="D269" s="3" t="s">
        <v>20</v>
      </c>
      <c r="E269" s="3" t="n">
        <v>90651</v>
      </c>
      <c r="F269" s="3" t="n">
        <v>9</v>
      </c>
      <c r="G269" s="3" t="n">
        <v>1</v>
      </c>
      <c r="H269" s="3" t="n">
        <v>11</v>
      </c>
      <c r="I269" s="3" t="s">
        <v>13</v>
      </c>
      <c r="J269" s="3" t="s">
        <v>19</v>
      </c>
      <c r="K269" s="3" t="n">
        <v>80.56</v>
      </c>
      <c r="L269" s="7" t="str">
        <f aca="false">IF(B269&lt;25,"Gen Z",IF(B269&lt;40,"Millennial",IF(B269&lt;55,"Gen X","Baby Boomer")))</f>
        <v>Gen Z</v>
      </c>
      <c r="M269" s="7" t="str">
        <f aca="false">IF(E269&lt;50000,"Low Income",IF(E269&lt;80000,"Middle Income",IF(E269&lt;100000,"Upper Middle","High Income")))</f>
        <v>Upper Middle</v>
      </c>
      <c r="N269" s="7" t="str">
        <f aca="false">IF(F269&lt;=3,"Poor",IF(F269&lt;=6,"Average",IF(F269&lt;=8,"Good","Excellent")))</f>
        <v>Excellent</v>
      </c>
      <c r="O269" s="7" t="str">
        <f aca="false">IF(G269&lt;=3,"Poor",IF(G269&lt;=6,"Average",IF(G269&lt;=8,"Good","Excellent")))</f>
        <v>Poor</v>
      </c>
      <c r="P269" s="7" t="str">
        <f aca="false">IF(H269&lt;=5,"Low Frequency",IF(H269&lt;=10,"Moderate",IF(H269&lt;=15,"High","Very High")))</f>
        <v>High</v>
      </c>
      <c r="Q269" s="7" t="str">
        <f aca="false">IF(K269&gt;=90,"Highly Satisfied",IF(K269&gt;=75,"Satisfied",IF(K269&gt;=60,"Neutral","Dissatisfied")))</f>
        <v>Satisfied</v>
      </c>
      <c r="R269" s="7" t="str">
        <f aca="false">UPPER(LEFT(TRIM(J269),1))&amp;LOWER(MID(TRIM(J269),2,100))</f>
        <v>Silver</v>
      </c>
      <c r="S269" s="7" t="str">
        <f aca="false">IF(I269="High","Positive",IF(I269="Medium","Neutral","Negative"))</f>
        <v>Negative</v>
      </c>
      <c r="T269" s="7" t="str">
        <f aca="false">IF(AND(E269&gt;=80000,H269&gt;=15),"Premium",IF(AND(E269&gt;=50000,H269&gt;=10),"Standard","Basic"))</f>
        <v>Standard</v>
      </c>
      <c r="U269" s="7" t="str">
        <f aca="false">IF(AND(F269&gt;=7,G269&gt;=7),"High Quality Experience","Review Needed")</f>
        <v>Review Needed</v>
      </c>
      <c r="V269" s="7" t="str">
        <f aca="false">IF(H269&gt;=10,"Repeat Buyer","Occasional Buyer")</f>
        <v>Repeat Buyer</v>
      </c>
      <c r="W269" s="7" t="str">
        <f aca="false">IF(AND(K269&lt;70,I269="Low"),"At Risk","Stable")</f>
        <v>Stable</v>
      </c>
      <c r="X269" s="7" t="str">
        <f aca="false">IF(AND(K269&lt;75,I269="Low",J269="Bronze"),"Priority Followup","No Action")</f>
        <v>No Action</v>
      </c>
    </row>
    <row r="270" customFormat="false" ht="15" hidden="false" customHeight="false" outlineLevel="0" collapsed="false">
      <c r="A270" s="2" t="n">
        <v>268</v>
      </c>
      <c r="B270" s="2" t="n">
        <v>36</v>
      </c>
      <c r="C270" s="2" t="s">
        <v>17</v>
      </c>
      <c r="D270" s="2" t="s">
        <v>12</v>
      </c>
      <c r="E270" s="2" t="n">
        <v>104142</v>
      </c>
      <c r="F270" s="2" t="n">
        <v>6</v>
      </c>
      <c r="G270" s="2" t="n">
        <v>1</v>
      </c>
      <c r="H270" s="2" t="n">
        <v>6</v>
      </c>
      <c r="I270" s="2" t="s">
        <v>13</v>
      </c>
      <c r="J270" s="2" t="s">
        <v>16</v>
      </c>
      <c r="K270" s="2" t="n">
        <v>79.47</v>
      </c>
      <c r="L270" s="8" t="str">
        <f aca="false">IF(B270&lt;25,"Gen Z",IF(B270&lt;40,"Millennial",IF(B270&lt;55,"Gen X","Baby Boomer")))</f>
        <v>Millennial</v>
      </c>
      <c r="M270" s="8" t="str">
        <f aca="false">IF(E270&lt;50000,"Low Income",IF(E270&lt;80000,"Middle Income",IF(E270&lt;100000,"Upper Middle","High Income")))</f>
        <v>High Income</v>
      </c>
      <c r="N270" s="8" t="str">
        <f aca="false">IF(F270&lt;=3,"Poor",IF(F270&lt;=6,"Average",IF(F270&lt;=8,"Good","Excellent")))</f>
        <v>Average</v>
      </c>
      <c r="O270" s="8" t="str">
        <f aca="false">IF(G270&lt;=3,"Poor",IF(G270&lt;=6,"Average",IF(G270&lt;=8,"Good","Excellent")))</f>
        <v>Poor</v>
      </c>
      <c r="P270" s="8" t="str">
        <f aca="false">IF(H270&lt;=5,"Low Frequency",IF(H270&lt;=10,"Moderate",IF(H270&lt;=15,"High","Very High")))</f>
        <v>Moderate</v>
      </c>
      <c r="Q270" s="8" t="str">
        <f aca="false">IF(K270&gt;=90,"Highly Satisfied",IF(K270&gt;=75,"Satisfied",IF(K270&gt;=60,"Neutral","Dissatisfied")))</f>
        <v>Satisfied</v>
      </c>
      <c r="R270" s="8" t="str">
        <f aca="false">UPPER(LEFT(TRIM(J270),1))&amp;LOWER(MID(TRIM(J270),2,100))</f>
        <v>Gold</v>
      </c>
      <c r="S270" s="8" t="str">
        <f aca="false">IF(I270="High","Positive",IF(I270="Medium","Neutral","Negative"))</f>
        <v>Negative</v>
      </c>
      <c r="T270" s="8" t="str">
        <f aca="false">IF(AND(E270&gt;=80000,H270&gt;=15),"Premium",IF(AND(E270&gt;=50000,H270&gt;=10),"Standard","Basic"))</f>
        <v>Basic</v>
      </c>
      <c r="U270" s="8" t="str">
        <f aca="false">IF(AND(F270&gt;=7,G270&gt;=7),"High Quality Experience","Review Needed")</f>
        <v>Review Needed</v>
      </c>
      <c r="V270" s="8" t="str">
        <f aca="false">IF(H270&gt;=10,"Repeat Buyer","Occasional Buyer")</f>
        <v>Occasional Buyer</v>
      </c>
      <c r="W270" s="8" t="str">
        <f aca="false">IF(AND(K270&lt;70,I270="Low"),"At Risk","Stable")</f>
        <v>Stable</v>
      </c>
      <c r="X270" s="8" t="str">
        <f aca="false">IF(AND(K270&lt;75,I270="Low",J270="Bronze"),"Priority Followup","No Action")</f>
        <v>No Action</v>
      </c>
    </row>
    <row r="271" customFormat="false" ht="15" hidden="false" customHeight="false" outlineLevel="0" collapsed="false">
      <c r="A271" s="3" t="n">
        <v>269</v>
      </c>
      <c r="B271" s="3" t="n">
        <v>37</v>
      </c>
      <c r="C271" s="3" t="s">
        <v>17</v>
      </c>
      <c r="D271" s="3" t="s">
        <v>18</v>
      </c>
      <c r="E271" s="3" t="n">
        <v>102111</v>
      </c>
      <c r="F271" s="3" t="n">
        <v>8</v>
      </c>
      <c r="G271" s="3" t="n">
        <v>9</v>
      </c>
      <c r="H271" s="3" t="n">
        <v>19</v>
      </c>
      <c r="I271" s="3" t="s">
        <v>13</v>
      </c>
      <c r="J271" s="3" t="s">
        <v>14</v>
      </c>
      <c r="K271" s="3" t="n">
        <v>100</v>
      </c>
      <c r="L271" s="7" t="str">
        <f aca="false">IF(B271&lt;25,"Gen Z",IF(B271&lt;40,"Millennial",IF(B271&lt;55,"Gen X","Baby Boomer")))</f>
        <v>Millennial</v>
      </c>
      <c r="M271" s="7" t="str">
        <f aca="false">IF(E271&lt;50000,"Low Income",IF(E271&lt;80000,"Middle Income",IF(E271&lt;100000,"Upper Middle","High Income")))</f>
        <v>High Income</v>
      </c>
      <c r="N271" s="7" t="str">
        <f aca="false">IF(F271&lt;=3,"Poor",IF(F271&lt;=6,"Average",IF(F271&lt;=8,"Good","Excellent")))</f>
        <v>Good</v>
      </c>
      <c r="O271" s="7" t="str">
        <f aca="false">IF(G271&lt;=3,"Poor",IF(G271&lt;=6,"Average",IF(G271&lt;=8,"Good","Excellent")))</f>
        <v>Excellent</v>
      </c>
      <c r="P271" s="7" t="str">
        <f aca="false">IF(H271&lt;=5,"Low Frequency",IF(H271&lt;=10,"Moderate",IF(H271&lt;=15,"High","Very High")))</f>
        <v>Very High</v>
      </c>
      <c r="Q271" s="7" t="str">
        <f aca="false">IF(K271&gt;=90,"Highly Satisfied",IF(K271&gt;=75,"Satisfied",IF(K271&gt;=60,"Neutral","Dissatisfied")))</f>
        <v>Highly Satisfied</v>
      </c>
      <c r="R271" s="7" t="str">
        <f aca="false">UPPER(LEFT(TRIM(J271),1))&amp;LOWER(MID(TRIM(J271),2,100))</f>
        <v>Bronze</v>
      </c>
      <c r="S271" s="7" t="str">
        <f aca="false">IF(I271="High","Positive",IF(I271="Medium","Neutral","Negative"))</f>
        <v>Negative</v>
      </c>
      <c r="T271" s="7" t="str">
        <f aca="false">IF(AND(E271&gt;=80000,H271&gt;=15),"Premium",IF(AND(E271&gt;=50000,H271&gt;=10),"Standard","Basic"))</f>
        <v>Premium</v>
      </c>
      <c r="U271" s="7" t="str">
        <f aca="false">IF(AND(F271&gt;=7,G271&gt;=7),"High Quality Experience","Review Needed")</f>
        <v>High Quality Experience</v>
      </c>
      <c r="V271" s="7" t="str">
        <f aca="false">IF(H271&gt;=10,"Repeat Buyer","Occasional Buyer")</f>
        <v>Repeat Buyer</v>
      </c>
      <c r="W271" s="7" t="str">
        <f aca="false">IF(AND(K271&lt;70,I271="Low"),"At Risk","Stable")</f>
        <v>Stable</v>
      </c>
      <c r="X271" s="7" t="str">
        <f aca="false">IF(AND(K271&lt;75,I271="Low",J271="Bronze"),"Priority Followup","No Action")</f>
        <v>No Action</v>
      </c>
    </row>
    <row r="272" customFormat="false" ht="15" hidden="false" customHeight="false" outlineLevel="0" collapsed="false">
      <c r="A272" s="2" t="n">
        <v>270</v>
      </c>
      <c r="B272" s="2" t="n">
        <v>49</v>
      </c>
      <c r="C272" s="2" t="s">
        <v>17</v>
      </c>
      <c r="D272" s="2" t="s">
        <v>20</v>
      </c>
      <c r="E272" s="2" t="n">
        <v>70789</v>
      </c>
      <c r="F272" s="2" t="n">
        <v>9</v>
      </c>
      <c r="G272" s="2" t="n">
        <v>4</v>
      </c>
      <c r="H272" s="2" t="n">
        <v>16</v>
      </c>
      <c r="I272" s="2" t="s">
        <v>21</v>
      </c>
      <c r="J272" s="2" t="s">
        <v>19</v>
      </c>
      <c r="K272" s="2" t="n">
        <v>100</v>
      </c>
      <c r="L272" s="8" t="str">
        <f aca="false">IF(B272&lt;25,"Gen Z",IF(B272&lt;40,"Millennial",IF(B272&lt;55,"Gen X","Baby Boomer")))</f>
        <v>Gen X</v>
      </c>
      <c r="M272" s="8" t="str">
        <f aca="false">IF(E272&lt;50000,"Low Income",IF(E272&lt;80000,"Middle Income",IF(E272&lt;100000,"Upper Middle","High Income")))</f>
        <v>Middle Income</v>
      </c>
      <c r="N272" s="8" t="str">
        <f aca="false">IF(F272&lt;=3,"Poor",IF(F272&lt;=6,"Average",IF(F272&lt;=8,"Good","Excellent")))</f>
        <v>Excellent</v>
      </c>
      <c r="O272" s="8" t="str">
        <f aca="false">IF(G272&lt;=3,"Poor",IF(G272&lt;=6,"Average",IF(G272&lt;=8,"Good","Excellent")))</f>
        <v>Average</v>
      </c>
      <c r="P272" s="8" t="str">
        <f aca="false">IF(H272&lt;=5,"Low Frequency",IF(H272&lt;=10,"Moderate",IF(H272&lt;=15,"High","Very High")))</f>
        <v>Very High</v>
      </c>
      <c r="Q272" s="8" t="str">
        <f aca="false">IF(K272&gt;=90,"Highly Satisfied",IF(K272&gt;=75,"Satisfied",IF(K272&gt;=60,"Neutral","Dissatisfied")))</f>
        <v>Highly Satisfied</v>
      </c>
      <c r="R272" s="8" t="str">
        <f aca="false">UPPER(LEFT(TRIM(J272),1))&amp;LOWER(MID(TRIM(J272),2,100))</f>
        <v>Silver</v>
      </c>
      <c r="S272" s="8" t="str">
        <f aca="false">IF(I272="High","Positive",IF(I272="Medium","Neutral","Negative"))</f>
        <v>Positive</v>
      </c>
      <c r="T272" s="8" t="str">
        <f aca="false">IF(AND(E272&gt;=80000,H272&gt;=15),"Premium",IF(AND(E272&gt;=50000,H272&gt;=10),"Standard","Basic"))</f>
        <v>Standard</v>
      </c>
      <c r="U272" s="8" t="str">
        <f aca="false">IF(AND(F272&gt;=7,G272&gt;=7),"High Quality Experience","Review Needed")</f>
        <v>Review Needed</v>
      </c>
      <c r="V272" s="8" t="str">
        <f aca="false">IF(H272&gt;=10,"Repeat Buyer","Occasional Buyer")</f>
        <v>Repeat Buyer</v>
      </c>
      <c r="W272" s="8" t="str">
        <f aca="false">IF(AND(K272&lt;70,I272="Low"),"At Risk","Stable")</f>
        <v>Stable</v>
      </c>
      <c r="X272" s="8" t="str">
        <f aca="false">IF(AND(K272&lt;75,I272="Low",J272="Bronze"),"Priority Followup","No Action")</f>
        <v>No Action</v>
      </c>
    </row>
    <row r="273" customFormat="false" ht="15" hidden="false" customHeight="false" outlineLevel="0" collapsed="false">
      <c r="A273" s="3" t="n">
        <v>271</v>
      </c>
      <c r="B273" s="3" t="n">
        <v>24</v>
      </c>
      <c r="C273" s="3" t="s">
        <v>11</v>
      </c>
      <c r="D273" s="3" t="s">
        <v>20</v>
      </c>
      <c r="E273" s="3" t="n">
        <v>99700</v>
      </c>
      <c r="F273" s="3" t="n">
        <v>9</v>
      </c>
      <c r="G273" s="3" t="n">
        <v>5</v>
      </c>
      <c r="H273" s="3" t="n">
        <v>19</v>
      </c>
      <c r="I273" s="3" t="s">
        <v>15</v>
      </c>
      <c r="J273" s="3" t="s">
        <v>16</v>
      </c>
      <c r="K273" s="3" t="n">
        <v>100</v>
      </c>
      <c r="L273" s="7" t="str">
        <f aca="false">IF(B273&lt;25,"Gen Z",IF(B273&lt;40,"Millennial",IF(B273&lt;55,"Gen X","Baby Boomer")))</f>
        <v>Gen Z</v>
      </c>
      <c r="M273" s="7" t="str">
        <f aca="false">IF(E273&lt;50000,"Low Income",IF(E273&lt;80000,"Middle Income",IF(E273&lt;100000,"Upper Middle","High Income")))</f>
        <v>Upper Middle</v>
      </c>
      <c r="N273" s="7" t="str">
        <f aca="false">IF(F273&lt;=3,"Poor",IF(F273&lt;=6,"Average",IF(F273&lt;=8,"Good","Excellent")))</f>
        <v>Excellent</v>
      </c>
      <c r="O273" s="7" t="str">
        <f aca="false">IF(G273&lt;=3,"Poor",IF(G273&lt;=6,"Average",IF(G273&lt;=8,"Good","Excellent")))</f>
        <v>Average</v>
      </c>
      <c r="P273" s="7" t="str">
        <f aca="false">IF(H273&lt;=5,"Low Frequency",IF(H273&lt;=10,"Moderate",IF(H273&lt;=15,"High","Very High")))</f>
        <v>Very High</v>
      </c>
      <c r="Q273" s="7" t="str">
        <f aca="false">IF(K273&gt;=90,"Highly Satisfied",IF(K273&gt;=75,"Satisfied",IF(K273&gt;=60,"Neutral","Dissatisfied")))</f>
        <v>Highly Satisfied</v>
      </c>
      <c r="R273" s="7" t="str">
        <f aca="false">UPPER(LEFT(TRIM(J273),1))&amp;LOWER(MID(TRIM(J273),2,100))</f>
        <v>Gold</v>
      </c>
      <c r="S273" s="7" t="str">
        <f aca="false">IF(I273="High","Positive",IF(I273="Medium","Neutral","Negative"))</f>
        <v>Neutral</v>
      </c>
      <c r="T273" s="7" t="str">
        <f aca="false">IF(AND(E273&gt;=80000,H273&gt;=15),"Premium",IF(AND(E273&gt;=50000,H273&gt;=10),"Standard","Basic"))</f>
        <v>Premium</v>
      </c>
      <c r="U273" s="7" t="str">
        <f aca="false">IF(AND(F273&gt;=7,G273&gt;=7),"High Quality Experience","Review Needed")</f>
        <v>Review Needed</v>
      </c>
      <c r="V273" s="7" t="str">
        <f aca="false">IF(H273&gt;=10,"Repeat Buyer","Occasional Buyer")</f>
        <v>Repeat Buyer</v>
      </c>
      <c r="W273" s="7" t="str">
        <f aca="false">IF(AND(K273&lt;70,I273="Low"),"At Risk","Stable")</f>
        <v>Stable</v>
      </c>
      <c r="X273" s="7" t="str">
        <f aca="false">IF(AND(K273&lt;75,I273="Low",J273="Bronze"),"Priority Followup","No Action")</f>
        <v>No Action</v>
      </c>
    </row>
    <row r="274" customFormat="false" ht="15" hidden="false" customHeight="false" outlineLevel="0" collapsed="false">
      <c r="A274" s="2" t="n">
        <v>272</v>
      </c>
      <c r="B274" s="2" t="n">
        <v>69</v>
      </c>
      <c r="C274" s="2" t="s">
        <v>17</v>
      </c>
      <c r="D274" s="2" t="s">
        <v>12</v>
      </c>
      <c r="E274" s="2" t="n">
        <v>74176</v>
      </c>
      <c r="F274" s="2" t="n">
        <v>7</v>
      </c>
      <c r="G274" s="2" t="n">
        <v>6</v>
      </c>
      <c r="H274" s="2" t="n">
        <v>11</v>
      </c>
      <c r="I274" s="2" t="s">
        <v>15</v>
      </c>
      <c r="J274" s="2" t="s">
        <v>14</v>
      </c>
      <c r="K274" s="2" t="n">
        <v>100</v>
      </c>
      <c r="L274" s="8" t="str">
        <f aca="false">IF(B274&lt;25,"Gen Z",IF(B274&lt;40,"Millennial",IF(B274&lt;55,"Gen X","Baby Boomer")))</f>
        <v>Baby Boomer</v>
      </c>
      <c r="M274" s="8" t="str">
        <f aca="false">IF(E274&lt;50000,"Low Income",IF(E274&lt;80000,"Middle Income",IF(E274&lt;100000,"Upper Middle","High Income")))</f>
        <v>Middle Income</v>
      </c>
      <c r="N274" s="8" t="str">
        <f aca="false">IF(F274&lt;=3,"Poor",IF(F274&lt;=6,"Average",IF(F274&lt;=8,"Good","Excellent")))</f>
        <v>Good</v>
      </c>
      <c r="O274" s="8" t="str">
        <f aca="false">IF(G274&lt;=3,"Poor",IF(G274&lt;=6,"Average",IF(G274&lt;=8,"Good","Excellent")))</f>
        <v>Average</v>
      </c>
      <c r="P274" s="8" t="str">
        <f aca="false">IF(H274&lt;=5,"Low Frequency",IF(H274&lt;=10,"Moderate",IF(H274&lt;=15,"High","Very High")))</f>
        <v>High</v>
      </c>
      <c r="Q274" s="8" t="str">
        <f aca="false">IF(K274&gt;=90,"Highly Satisfied",IF(K274&gt;=75,"Satisfied",IF(K274&gt;=60,"Neutral","Dissatisfied")))</f>
        <v>Highly Satisfied</v>
      </c>
      <c r="R274" s="8" t="str">
        <f aca="false">UPPER(LEFT(TRIM(J274),1))&amp;LOWER(MID(TRIM(J274),2,100))</f>
        <v>Bronze</v>
      </c>
      <c r="S274" s="8" t="str">
        <f aca="false">IF(I274="High","Positive",IF(I274="Medium","Neutral","Negative"))</f>
        <v>Neutral</v>
      </c>
      <c r="T274" s="8" t="str">
        <f aca="false">IF(AND(E274&gt;=80000,H274&gt;=15),"Premium",IF(AND(E274&gt;=50000,H274&gt;=10),"Standard","Basic"))</f>
        <v>Standard</v>
      </c>
      <c r="U274" s="8" t="str">
        <f aca="false">IF(AND(F274&gt;=7,G274&gt;=7),"High Quality Experience","Review Needed")</f>
        <v>Review Needed</v>
      </c>
      <c r="V274" s="8" t="str">
        <f aca="false">IF(H274&gt;=10,"Repeat Buyer","Occasional Buyer")</f>
        <v>Repeat Buyer</v>
      </c>
      <c r="W274" s="8" t="str">
        <f aca="false">IF(AND(K274&lt;70,I274="Low"),"At Risk","Stable")</f>
        <v>Stable</v>
      </c>
      <c r="X274" s="8" t="str">
        <f aca="false">IF(AND(K274&lt;75,I274="Low",J274="Bronze"),"Priority Followup","No Action")</f>
        <v>No Action</v>
      </c>
    </row>
    <row r="275" customFormat="false" ht="15" hidden="false" customHeight="false" outlineLevel="0" collapsed="false">
      <c r="A275" s="3" t="n">
        <v>273</v>
      </c>
      <c r="B275" s="3" t="n">
        <v>58</v>
      </c>
      <c r="C275" s="3" t="s">
        <v>11</v>
      </c>
      <c r="D275" s="3" t="s">
        <v>23</v>
      </c>
      <c r="E275" s="3" t="n">
        <v>88410</v>
      </c>
      <c r="F275" s="3" t="n">
        <v>10</v>
      </c>
      <c r="G275" s="3" t="n">
        <v>1</v>
      </c>
      <c r="H275" s="3" t="n">
        <v>19</v>
      </c>
      <c r="I275" s="3" t="s">
        <v>15</v>
      </c>
      <c r="J275" s="3" t="s">
        <v>16</v>
      </c>
      <c r="K275" s="3" t="n">
        <v>100</v>
      </c>
      <c r="L275" s="7" t="str">
        <f aca="false">IF(B275&lt;25,"Gen Z",IF(B275&lt;40,"Millennial",IF(B275&lt;55,"Gen X","Baby Boomer")))</f>
        <v>Baby Boomer</v>
      </c>
      <c r="M275" s="7" t="str">
        <f aca="false">IF(E275&lt;50000,"Low Income",IF(E275&lt;80000,"Middle Income",IF(E275&lt;100000,"Upper Middle","High Income")))</f>
        <v>Upper Middle</v>
      </c>
      <c r="N275" s="7" t="str">
        <f aca="false">IF(F275&lt;=3,"Poor",IF(F275&lt;=6,"Average",IF(F275&lt;=8,"Good","Excellent")))</f>
        <v>Excellent</v>
      </c>
      <c r="O275" s="7" t="str">
        <f aca="false">IF(G275&lt;=3,"Poor",IF(G275&lt;=6,"Average",IF(G275&lt;=8,"Good","Excellent")))</f>
        <v>Poor</v>
      </c>
      <c r="P275" s="7" t="str">
        <f aca="false">IF(H275&lt;=5,"Low Frequency",IF(H275&lt;=10,"Moderate",IF(H275&lt;=15,"High","Very High")))</f>
        <v>Very High</v>
      </c>
      <c r="Q275" s="7" t="str">
        <f aca="false">IF(K275&gt;=90,"Highly Satisfied",IF(K275&gt;=75,"Satisfied",IF(K275&gt;=60,"Neutral","Dissatisfied")))</f>
        <v>Highly Satisfied</v>
      </c>
      <c r="R275" s="7" t="str">
        <f aca="false">UPPER(LEFT(TRIM(J275),1))&amp;LOWER(MID(TRIM(J275),2,100))</f>
        <v>Gold</v>
      </c>
      <c r="S275" s="7" t="str">
        <f aca="false">IF(I275="High","Positive",IF(I275="Medium","Neutral","Negative"))</f>
        <v>Neutral</v>
      </c>
      <c r="T275" s="7" t="str">
        <f aca="false">IF(AND(E275&gt;=80000,H275&gt;=15),"Premium",IF(AND(E275&gt;=50000,H275&gt;=10),"Standard","Basic"))</f>
        <v>Premium</v>
      </c>
      <c r="U275" s="7" t="str">
        <f aca="false">IF(AND(F275&gt;=7,G275&gt;=7),"High Quality Experience","Review Needed")</f>
        <v>Review Needed</v>
      </c>
      <c r="V275" s="7" t="str">
        <f aca="false">IF(H275&gt;=10,"Repeat Buyer","Occasional Buyer")</f>
        <v>Repeat Buyer</v>
      </c>
      <c r="W275" s="7" t="str">
        <f aca="false">IF(AND(K275&lt;70,I275="Low"),"At Risk","Stable")</f>
        <v>Stable</v>
      </c>
      <c r="X275" s="7" t="str">
        <f aca="false">IF(AND(K275&lt;75,I275="Low",J275="Bronze"),"Priority Followup","No Action")</f>
        <v>No Action</v>
      </c>
    </row>
    <row r="276" customFormat="false" ht="15" hidden="false" customHeight="false" outlineLevel="0" collapsed="false">
      <c r="A276" s="2" t="n">
        <v>274</v>
      </c>
      <c r="B276" s="2" t="n">
        <v>50</v>
      </c>
      <c r="C276" s="2" t="s">
        <v>11</v>
      </c>
      <c r="D276" s="2" t="s">
        <v>20</v>
      </c>
      <c r="E276" s="2" t="n">
        <v>99062</v>
      </c>
      <c r="F276" s="2" t="n">
        <v>2</v>
      </c>
      <c r="G276" s="2" t="n">
        <v>8</v>
      </c>
      <c r="H276" s="2" t="n">
        <v>1</v>
      </c>
      <c r="I276" s="2" t="s">
        <v>21</v>
      </c>
      <c r="J276" s="2" t="s">
        <v>16</v>
      </c>
      <c r="K276" s="2" t="n">
        <v>90.36</v>
      </c>
      <c r="L276" s="8" t="str">
        <f aca="false">IF(B276&lt;25,"Gen Z",IF(B276&lt;40,"Millennial",IF(B276&lt;55,"Gen X","Baby Boomer")))</f>
        <v>Gen X</v>
      </c>
      <c r="M276" s="8" t="str">
        <f aca="false">IF(E276&lt;50000,"Low Income",IF(E276&lt;80000,"Middle Income",IF(E276&lt;100000,"Upper Middle","High Income")))</f>
        <v>Upper Middle</v>
      </c>
      <c r="N276" s="8" t="str">
        <f aca="false">IF(F276&lt;=3,"Poor",IF(F276&lt;=6,"Average",IF(F276&lt;=8,"Good","Excellent")))</f>
        <v>Poor</v>
      </c>
      <c r="O276" s="8" t="str">
        <f aca="false">IF(G276&lt;=3,"Poor",IF(G276&lt;=6,"Average",IF(G276&lt;=8,"Good","Excellent")))</f>
        <v>Good</v>
      </c>
      <c r="P276" s="8" t="str">
        <f aca="false">IF(H276&lt;=5,"Low Frequency",IF(H276&lt;=10,"Moderate",IF(H276&lt;=15,"High","Very High")))</f>
        <v>Low Frequency</v>
      </c>
      <c r="Q276" s="8" t="str">
        <f aca="false">IF(K276&gt;=90,"Highly Satisfied",IF(K276&gt;=75,"Satisfied",IF(K276&gt;=60,"Neutral","Dissatisfied")))</f>
        <v>Highly Satisfied</v>
      </c>
      <c r="R276" s="8" t="str">
        <f aca="false">UPPER(LEFT(TRIM(J276),1))&amp;LOWER(MID(TRIM(J276),2,100))</f>
        <v>Gold</v>
      </c>
      <c r="S276" s="8" t="str">
        <f aca="false">IF(I276="High","Positive",IF(I276="Medium","Neutral","Negative"))</f>
        <v>Positive</v>
      </c>
      <c r="T276" s="8" t="str">
        <f aca="false">IF(AND(E276&gt;=80000,H276&gt;=15),"Premium",IF(AND(E276&gt;=50000,H276&gt;=10),"Standard","Basic"))</f>
        <v>Basic</v>
      </c>
      <c r="U276" s="8" t="str">
        <f aca="false">IF(AND(F276&gt;=7,G276&gt;=7),"High Quality Experience","Review Needed")</f>
        <v>Review Needed</v>
      </c>
      <c r="V276" s="8" t="str">
        <f aca="false">IF(H276&gt;=10,"Repeat Buyer","Occasional Buyer")</f>
        <v>Occasional Buyer</v>
      </c>
      <c r="W276" s="8" t="str">
        <f aca="false">IF(AND(K276&lt;70,I276="Low"),"At Risk","Stable")</f>
        <v>Stable</v>
      </c>
      <c r="X276" s="8" t="str">
        <f aca="false">IF(AND(K276&lt;75,I276="Low",J276="Bronze"),"Priority Followup","No Action")</f>
        <v>No Action</v>
      </c>
    </row>
    <row r="277" customFormat="false" ht="15" hidden="false" customHeight="false" outlineLevel="0" collapsed="false">
      <c r="A277" s="3" t="n">
        <v>275</v>
      </c>
      <c r="B277" s="3" t="n">
        <v>57</v>
      </c>
      <c r="C277" s="3" t="s">
        <v>11</v>
      </c>
      <c r="D277" s="3" t="s">
        <v>18</v>
      </c>
      <c r="E277" s="3" t="n">
        <v>70081</v>
      </c>
      <c r="F277" s="3" t="n">
        <v>6</v>
      </c>
      <c r="G277" s="3" t="n">
        <v>1</v>
      </c>
      <c r="H277" s="3" t="n">
        <v>18</v>
      </c>
      <c r="I277" s="3" t="s">
        <v>15</v>
      </c>
      <c r="J277" s="3" t="s">
        <v>14</v>
      </c>
      <c r="K277" s="3" t="n">
        <v>81.13</v>
      </c>
      <c r="L277" s="7" t="str">
        <f aca="false">IF(B277&lt;25,"Gen Z",IF(B277&lt;40,"Millennial",IF(B277&lt;55,"Gen X","Baby Boomer")))</f>
        <v>Baby Boomer</v>
      </c>
      <c r="M277" s="7" t="str">
        <f aca="false">IF(E277&lt;50000,"Low Income",IF(E277&lt;80000,"Middle Income",IF(E277&lt;100000,"Upper Middle","High Income")))</f>
        <v>Middle Income</v>
      </c>
      <c r="N277" s="7" t="str">
        <f aca="false">IF(F277&lt;=3,"Poor",IF(F277&lt;=6,"Average",IF(F277&lt;=8,"Good","Excellent")))</f>
        <v>Average</v>
      </c>
      <c r="O277" s="7" t="str">
        <f aca="false">IF(G277&lt;=3,"Poor",IF(G277&lt;=6,"Average",IF(G277&lt;=8,"Good","Excellent")))</f>
        <v>Poor</v>
      </c>
      <c r="P277" s="7" t="str">
        <f aca="false">IF(H277&lt;=5,"Low Frequency",IF(H277&lt;=10,"Moderate",IF(H277&lt;=15,"High","Very High")))</f>
        <v>Very High</v>
      </c>
      <c r="Q277" s="7" t="str">
        <f aca="false">IF(K277&gt;=90,"Highly Satisfied",IF(K277&gt;=75,"Satisfied",IF(K277&gt;=60,"Neutral","Dissatisfied")))</f>
        <v>Satisfied</v>
      </c>
      <c r="R277" s="7" t="str">
        <f aca="false">UPPER(LEFT(TRIM(J277),1))&amp;LOWER(MID(TRIM(J277),2,100))</f>
        <v>Bronze</v>
      </c>
      <c r="S277" s="7" t="str">
        <f aca="false">IF(I277="High","Positive",IF(I277="Medium","Neutral","Negative"))</f>
        <v>Neutral</v>
      </c>
      <c r="T277" s="7" t="str">
        <f aca="false">IF(AND(E277&gt;=80000,H277&gt;=15),"Premium",IF(AND(E277&gt;=50000,H277&gt;=10),"Standard","Basic"))</f>
        <v>Standard</v>
      </c>
      <c r="U277" s="7" t="str">
        <f aca="false">IF(AND(F277&gt;=7,G277&gt;=7),"High Quality Experience","Review Needed")</f>
        <v>Review Needed</v>
      </c>
      <c r="V277" s="7" t="str">
        <f aca="false">IF(H277&gt;=10,"Repeat Buyer","Occasional Buyer")</f>
        <v>Repeat Buyer</v>
      </c>
      <c r="W277" s="7" t="str">
        <f aca="false">IF(AND(K277&lt;70,I277="Low"),"At Risk","Stable")</f>
        <v>Stable</v>
      </c>
      <c r="X277" s="7" t="str">
        <f aca="false">IF(AND(K277&lt;75,I277="Low",J277="Bronze"),"Priority Followup","No Action")</f>
        <v>No Action</v>
      </c>
    </row>
    <row r="278" customFormat="false" ht="15" hidden="false" customHeight="false" outlineLevel="0" collapsed="false">
      <c r="A278" s="2" t="n">
        <v>276</v>
      </c>
      <c r="B278" s="2" t="n">
        <v>56</v>
      </c>
      <c r="C278" s="2" t="s">
        <v>17</v>
      </c>
      <c r="D278" s="2" t="s">
        <v>23</v>
      </c>
      <c r="E278" s="2" t="n">
        <v>84334</v>
      </c>
      <c r="F278" s="2" t="n">
        <v>8</v>
      </c>
      <c r="G278" s="2" t="n">
        <v>10</v>
      </c>
      <c r="H278" s="2" t="n">
        <v>5</v>
      </c>
      <c r="I278" s="2" t="s">
        <v>13</v>
      </c>
      <c r="J278" s="2" t="s">
        <v>14</v>
      </c>
      <c r="K278" s="2" t="n">
        <v>100</v>
      </c>
      <c r="L278" s="8" t="str">
        <f aca="false">IF(B278&lt;25,"Gen Z",IF(B278&lt;40,"Millennial",IF(B278&lt;55,"Gen X","Baby Boomer")))</f>
        <v>Baby Boomer</v>
      </c>
      <c r="M278" s="8" t="str">
        <f aca="false">IF(E278&lt;50000,"Low Income",IF(E278&lt;80000,"Middle Income",IF(E278&lt;100000,"Upper Middle","High Income")))</f>
        <v>Upper Middle</v>
      </c>
      <c r="N278" s="8" t="str">
        <f aca="false">IF(F278&lt;=3,"Poor",IF(F278&lt;=6,"Average",IF(F278&lt;=8,"Good","Excellent")))</f>
        <v>Good</v>
      </c>
      <c r="O278" s="8" t="str">
        <f aca="false">IF(G278&lt;=3,"Poor",IF(G278&lt;=6,"Average",IF(G278&lt;=8,"Good","Excellent")))</f>
        <v>Excellent</v>
      </c>
      <c r="P278" s="8" t="str">
        <f aca="false">IF(H278&lt;=5,"Low Frequency",IF(H278&lt;=10,"Moderate",IF(H278&lt;=15,"High","Very High")))</f>
        <v>Low Frequency</v>
      </c>
      <c r="Q278" s="8" t="str">
        <f aca="false">IF(K278&gt;=90,"Highly Satisfied",IF(K278&gt;=75,"Satisfied",IF(K278&gt;=60,"Neutral","Dissatisfied")))</f>
        <v>Highly Satisfied</v>
      </c>
      <c r="R278" s="8" t="str">
        <f aca="false">UPPER(LEFT(TRIM(J278),1))&amp;LOWER(MID(TRIM(J278),2,100))</f>
        <v>Bronze</v>
      </c>
      <c r="S278" s="8" t="str">
        <f aca="false">IF(I278="High","Positive",IF(I278="Medium","Neutral","Negative"))</f>
        <v>Negative</v>
      </c>
      <c r="T278" s="8" t="str">
        <f aca="false">IF(AND(E278&gt;=80000,H278&gt;=15),"Premium",IF(AND(E278&gt;=50000,H278&gt;=10),"Standard","Basic"))</f>
        <v>Basic</v>
      </c>
      <c r="U278" s="8" t="str">
        <f aca="false">IF(AND(F278&gt;=7,G278&gt;=7),"High Quality Experience","Review Needed")</f>
        <v>High Quality Experience</v>
      </c>
      <c r="V278" s="8" t="str">
        <f aca="false">IF(H278&gt;=10,"Repeat Buyer","Occasional Buyer")</f>
        <v>Occasional Buyer</v>
      </c>
      <c r="W278" s="8" t="str">
        <f aca="false">IF(AND(K278&lt;70,I278="Low"),"At Risk","Stable")</f>
        <v>Stable</v>
      </c>
      <c r="X278" s="8" t="str">
        <f aca="false">IF(AND(K278&lt;75,I278="Low",J278="Bronze"),"Priority Followup","No Action")</f>
        <v>No Action</v>
      </c>
    </row>
    <row r="279" customFormat="false" ht="15" hidden="false" customHeight="false" outlineLevel="0" collapsed="false">
      <c r="A279" s="3" t="n">
        <v>277</v>
      </c>
      <c r="B279" s="3" t="n">
        <v>35</v>
      </c>
      <c r="C279" s="3" t="s">
        <v>11</v>
      </c>
      <c r="D279" s="3" t="s">
        <v>23</v>
      </c>
      <c r="E279" s="3" t="n">
        <v>69195</v>
      </c>
      <c r="F279" s="3" t="n">
        <v>4</v>
      </c>
      <c r="G279" s="3" t="n">
        <v>6</v>
      </c>
      <c r="H279" s="3" t="n">
        <v>12</v>
      </c>
      <c r="I279" s="3" t="s">
        <v>21</v>
      </c>
      <c r="J279" s="3" t="s">
        <v>19</v>
      </c>
      <c r="K279" s="3" t="n">
        <v>81.36</v>
      </c>
      <c r="L279" s="7" t="str">
        <f aca="false">IF(B279&lt;25,"Gen Z",IF(B279&lt;40,"Millennial",IF(B279&lt;55,"Gen X","Baby Boomer")))</f>
        <v>Millennial</v>
      </c>
      <c r="M279" s="7" t="str">
        <f aca="false">IF(E279&lt;50000,"Low Income",IF(E279&lt;80000,"Middle Income",IF(E279&lt;100000,"Upper Middle","High Income")))</f>
        <v>Middle Income</v>
      </c>
      <c r="N279" s="7" t="str">
        <f aca="false">IF(F279&lt;=3,"Poor",IF(F279&lt;=6,"Average",IF(F279&lt;=8,"Good","Excellent")))</f>
        <v>Average</v>
      </c>
      <c r="O279" s="7" t="str">
        <f aca="false">IF(G279&lt;=3,"Poor",IF(G279&lt;=6,"Average",IF(G279&lt;=8,"Good","Excellent")))</f>
        <v>Average</v>
      </c>
      <c r="P279" s="7" t="str">
        <f aca="false">IF(H279&lt;=5,"Low Frequency",IF(H279&lt;=10,"Moderate",IF(H279&lt;=15,"High","Very High")))</f>
        <v>High</v>
      </c>
      <c r="Q279" s="7" t="str">
        <f aca="false">IF(K279&gt;=90,"Highly Satisfied",IF(K279&gt;=75,"Satisfied",IF(K279&gt;=60,"Neutral","Dissatisfied")))</f>
        <v>Satisfied</v>
      </c>
      <c r="R279" s="7" t="str">
        <f aca="false">UPPER(LEFT(TRIM(J279),1))&amp;LOWER(MID(TRIM(J279),2,100))</f>
        <v>Silver</v>
      </c>
      <c r="S279" s="7" t="str">
        <f aca="false">IF(I279="High","Positive",IF(I279="Medium","Neutral","Negative"))</f>
        <v>Positive</v>
      </c>
      <c r="T279" s="7" t="str">
        <f aca="false">IF(AND(E279&gt;=80000,H279&gt;=15),"Premium",IF(AND(E279&gt;=50000,H279&gt;=10),"Standard","Basic"))</f>
        <v>Standard</v>
      </c>
      <c r="U279" s="7" t="str">
        <f aca="false">IF(AND(F279&gt;=7,G279&gt;=7),"High Quality Experience","Review Needed")</f>
        <v>Review Needed</v>
      </c>
      <c r="V279" s="7" t="str">
        <f aca="false">IF(H279&gt;=10,"Repeat Buyer","Occasional Buyer")</f>
        <v>Repeat Buyer</v>
      </c>
      <c r="W279" s="7" t="str">
        <f aca="false">IF(AND(K279&lt;70,I279="Low"),"At Risk","Stable")</f>
        <v>Stable</v>
      </c>
      <c r="X279" s="7" t="str">
        <f aca="false">IF(AND(K279&lt;75,I279="Low",J279="Bronze"),"Priority Followup","No Action")</f>
        <v>No Action</v>
      </c>
    </row>
    <row r="280" customFormat="false" ht="15" hidden="false" customHeight="false" outlineLevel="0" collapsed="false">
      <c r="A280" s="2" t="n">
        <v>278</v>
      </c>
      <c r="B280" s="2" t="n">
        <v>57</v>
      </c>
      <c r="C280" s="2" t="s">
        <v>17</v>
      </c>
      <c r="D280" s="2" t="s">
        <v>23</v>
      </c>
      <c r="E280" s="2" t="n">
        <v>115698</v>
      </c>
      <c r="F280" s="2" t="n">
        <v>9</v>
      </c>
      <c r="G280" s="2" t="n">
        <v>4</v>
      </c>
      <c r="H280" s="2" t="n">
        <v>11</v>
      </c>
      <c r="I280" s="2" t="s">
        <v>13</v>
      </c>
      <c r="J280" s="2" t="s">
        <v>16</v>
      </c>
      <c r="K280" s="2" t="n">
        <v>100</v>
      </c>
      <c r="L280" s="8" t="str">
        <f aca="false">IF(B280&lt;25,"Gen Z",IF(B280&lt;40,"Millennial",IF(B280&lt;55,"Gen X","Baby Boomer")))</f>
        <v>Baby Boomer</v>
      </c>
      <c r="M280" s="8" t="str">
        <f aca="false">IF(E280&lt;50000,"Low Income",IF(E280&lt;80000,"Middle Income",IF(E280&lt;100000,"Upper Middle","High Income")))</f>
        <v>High Income</v>
      </c>
      <c r="N280" s="8" t="str">
        <f aca="false">IF(F280&lt;=3,"Poor",IF(F280&lt;=6,"Average",IF(F280&lt;=8,"Good","Excellent")))</f>
        <v>Excellent</v>
      </c>
      <c r="O280" s="8" t="str">
        <f aca="false">IF(G280&lt;=3,"Poor",IF(G280&lt;=6,"Average",IF(G280&lt;=8,"Good","Excellent")))</f>
        <v>Average</v>
      </c>
      <c r="P280" s="8" t="str">
        <f aca="false">IF(H280&lt;=5,"Low Frequency",IF(H280&lt;=10,"Moderate",IF(H280&lt;=15,"High","Very High")))</f>
        <v>High</v>
      </c>
      <c r="Q280" s="8" t="str">
        <f aca="false">IF(K280&gt;=90,"Highly Satisfied",IF(K280&gt;=75,"Satisfied",IF(K280&gt;=60,"Neutral","Dissatisfied")))</f>
        <v>Highly Satisfied</v>
      </c>
      <c r="R280" s="8" t="str">
        <f aca="false">UPPER(LEFT(TRIM(J280),1))&amp;LOWER(MID(TRIM(J280),2,100))</f>
        <v>Gold</v>
      </c>
      <c r="S280" s="8" t="str">
        <f aca="false">IF(I280="High","Positive",IF(I280="Medium","Neutral","Negative"))</f>
        <v>Negative</v>
      </c>
      <c r="T280" s="8" t="str">
        <f aca="false">IF(AND(E280&gt;=80000,H280&gt;=15),"Premium",IF(AND(E280&gt;=50000,H280&gt;=10),"Standard","Basic"))</f>
        <v>Standard</v>
      </c>
      <c r="U280" s="8" t="str">
        <f aca="false">IF(AND(F280&gt;=7,G280&gt;=7),"High Quality Experience","Review Needed")</f>
        <v>Review Needed</v>
      </c>
      <c r="V280" s="8" t="str">
        <f aca="false">IF(H280&gt;=10,"Repeat Buyer","Occasional Buyer")</f>
        <v>Repeat Buyer</v>
      </c>
      <c r="W280" s="8" t="str">
        <f aca="false">IF(AND(K280&lt;70,I280="Low"),"At Risk","Stable")</f>
        <v>Stable</v>
      </c>
      <c r="X280" s="8" t="str">
        <f aca="false">IF(AND(K280&lt;75,I280="Low",J280="Bronze"),"Priority Followup","No Action")</f>
        <v>No Action</v>
      </c>
    </row>
    <row r="281" customFormat="false" ht="15" hidden="false" customHeight="false" outlineLevel="0" collapsed="false">
      <c r="A281" s="3" t="n">
        <v>279</v>
      </c>
      <c r="B281" s="3" t="n">
        <v>18</v>
      </c>
      <c r="C281" s="3" t="s">
        <v>11</v>
      </c>
      <c r="D281" s="3" t="s">
        <v>20</v>
      </c>
      <c r="E281" s="3" t="n">
        <v>80784</v>
      </c>
      <c r="F281" s="3" t="n">
        <v>8</v>
      </c>
      <c r="G281" s="3" t="n">
        <v>2</v>
      </c>
      <c r="H281" s="3" t="n">
        <v>20</v>
      </c>
      <c r="I281" s="3" t="s">
        <v>13</v>
      </c>
      <c r="J281" s="3" t="s">
        <v>16</v>
      </c>
      <c r="K281" s="3" t="n">
        <v>76.92</v>
      </c>
      <c r="L281" s="7" t="str">
        <f aca="false">IF(B281&lt;25,"Gen Z",IF(B281&lt;40,"Millennial",IF(B281&lt;55,"Gen X","Baby Boomer")))</f>
        <v>Gen Z</v>
      </c>
      <c r="M281" s="7" t="str">
        <f aca="false">IF(E281&lt;50000,"Low Income",IF(E281&lt;80000,"Middle Income",IF(E281&lt;100000,"Upper Middle","High Income")))</f>
        <v>Upper Middle</v>
      </c>
      <c r="N281" s="7" t="str">
        <f aca="false">IF(F281&lt;=3,"Poor",IF(F281&lt;=6,"Average",IF(F281&lt;=8,"Good","Excellent")))</f>
        <v>Good</v>
      </c>
      <c r="O281" s="7" t="str">
        <f aca="false">IF(G281&lt;=3,"Poor",IF(G281&lt;=6,"Average",IF(G281&lt;=8,"Good","Excellent")))</f>
        <v>Poor</v>
      </c>
      <c r="P281" s="7" t="str">
        <f aca="false">IF(H281&lt;=5,"Low Frequency",IF(H281&lt;=10,"Moderate",IF(H281&lt;=15,"High","Very High")))</f>
        <v>Very High</v>
      </c>
      <c r="Q281" s="7" t="str">
        <f aca="false">IF(K281&gt;=90,"Highly Satisfied",IF(K281&gt;=75,"Satisfied",IF(K281&gt;=60,"Neutral","Dissatisfied")))</f>
        <v>Satisfied</v>
      </c>
      <c r="R281" s="7" t="str">
        <f aca="false">UPPER(LEFT(TRIM(J281),1))&amp;LOWER(MID(TRIM(J281),2,100))</f>
        <v>Gold</v>
      </c>
      <c r="S281" s="7" t="str">
        <f aca="false">IF(I281="High","Positive",IF(I281="Medium","Neutral","Negative"))</f>
        <v>Negative</v>
      </c>
      <c r="T281" s="7" t="str">
        <f aca="false">IF(AND(E281&gt;=80000,H281&gt;=15),"Premium",IF(AND(E281&gt;=50000,H281&gt;=10),"Standard","Basic"))</f>
        <v>Premium</v>
      </c>
      <c r="U281" s="7" t="str">
        <f aca="false">IF(AND(F281&gt;=7,G281&gt;=7),"High Quality Experience","Review Needed")</f>
        <v>Review Needed</v>
      </c>
      <c r="V281" s="7" t="str">
        <f aca="false">IF(H281&gt;=10,"Repeat Buyer","Occasional Buyer")</f>
        <v>Repeat Buyer</v>
      </c>
      <c r="W281" s="7" t="str">
        <f aca="false">IF(AND(K281&lt;70,I281="Low"),"At Risk","Stable")</f>
        <v>Stable</v>
      </c>
      <c r="X281" s="7" t="str">
        <f aca="false">IF(AND(K281&lt;75,I281="Low",J281="Bronze"),"Priority Followup","No Action")</f>
        <v>No Action</v>
      </c>
    </row>
    <row r="282" customFormat="false" ht="15" hidden="false" customHeight="false" outlineLevel="0" collapsed="false">
      <c r="A282" s="2" t="n">
        <v>280</v>
      </c>
      <c r="B282" s="2" t="n">
        <v>28</v>
      </c>
      <c r="C282" s="2" t="s">
        <v>17</v>
      </c>
      <c r="D282" s="2" t="s">
        <v>18</v>
      </c>
      <c r="E282" s="2" t="n">
        <v>41227</v>
      </c>
      <c r="F282" s="2" t="n">
        <v>1</v>
      </c>
      <c r="G282" s="2" t="n">
        <v>6</v>
      </c>
      <c r="H282" s="2" t="n">
        <v>2</v>
      </c>
      <c r="I282" s="2" t="s">
        <v>13</v>
      </c>
      <c r="J282" s="2" t="s">
        <v>16</v>
      </c>
      <c r="K282" s="2" t="n">
        <v>37.65</v>
      </c>
      <c r="L282" s="8" t="str">
        <f aca="false">IF(B282&lt;25,"Gen Z",IF(B282&lt;40,"Millennial",IF(B282&lt;55,"Gen X","Baby Boomer")))</f>
        <v>Millennial</v>
      </c>
      <c r="M282" s="8" t="str">
        <f aca="false">IF(E282&lt;50000,"Low Income",IF(E282&lt;80000,"Middle Income",IF(E282&lt;100000,"Upper Middle","High Income")))</f>
        <v>Low Income</v>
      </c>
      <c r="N282" s="8" t="str">
        <f aca="false">IF(F282&lt;=3,"Poor",IF(F282&lt;=6,"Average",IF(F282&lt;=8,"Good","Excellent")))</f>
        <v>Poor</v>
      </c>
      <c r="O282" s="8" t="str">
        <f aca="false">IF(G282&lt;=3,"Poor",IF(G282&lt;=6,"Average",IF(G282&lt;=8,"Good","Excellent")))</f>
        <v>Average</v>
      </c>
      <c r="P282" s="8" t="str">
        <f aca="false">IF(H282&lt;=5,"Low Frequency",IF(H282&lt;=10,"Moderate",IF(H282&lt;=15,"High","Very High")))</f>
        <v>Low Frequency</v>
      </c>
      <c r="Q282" s="8" t="str">
        <f aca="false">IF(K282&gt;=90,"Highly Satisfied",IF(K282&gt;=75,"Satisfied",IF(K282&gt;=60,"Neutral","Dissatisfied")))</f>
        <v>Dissatisfied</v>
      </c>
      <c r="R282" s="8" t="str">
        <f aca="false">UPPER(LEFT(TRIM(J282),1))&amp;LOWER(MID(TRIM(J282),2,100))</f>
        <v>Gold</v>
      </c>
      <c r="S282" s="8" t="str">
        <f aca="false">IF(I282="High","Positive",IF(I282="Medium","Neutral","Negative"))</f>
        <v>Negative</v>
      </c>
      <c r="T282" s="8" t="str">
        <f aca="false">IF(AND(E282&gt;=80000,H282&gt;=15),"Premium",IF(AND(E282&gt;=50000,H282&gt;=10),"Standard","Basic"))</f>
        <v>Basic</v>
      </c>
      <c r="U282" s="8" t="str">
        <f aca="false">IF(AND(F282&gt;=7,G282&gt;=7),"High Quality Experience","Review Needed")</f>
        <v>Review Needed</v>
      </c>
      <c r="V282" s="8" t="str">
        <f aca="false">IF(H282&gt;=10,"Repeat Buyer","Occasional Buyer")</f>
        <v>Occasional Buyer</v>
      </c>
      <c r="W282" s="8" t="str">
        <f aca="false">IF(AND(K282&lt;70,I282="Low"),"At Risk","Stable")</f>
        <v>At Risk</v>
      </c>
      <c r="X282" s="8" t="str">
        <f aca="false">IF(AND(K282&lt;75,I282="Low",J282="Bronze"),"Priority Followup","No Action")</f>
        <v>No Action</v>
      </c>
    </row>
    <row r="283" customFormat="false" ht="15" hidden="false" customHeight="false" outlineLevel="0" collapsed="false">
      <c r="A283" s="3" t="n">
        <v>281</v>
      </c>
      <c r="B283" s="3" t="n">
        <v>45</v>
      </c>
      <c r="C283" s="3" t="s">
        <v>17</v>
      </c>
      <c r="D283" s="3" t="s">
        <v>12</v>
      </c>
      <c r="E283" s="3" t="n">
        <v>33831</v>
      </c>
      <c r="F283" s="3" t="n">
        <v>8</v>
      </c>
      <c r="G283" s="3" t="n">
        <v>2</v>
      </c>
      <c r="H283" s="3" t="n">
        <v>7</v>
      </c>
      <c r="I283" s="3" t="s">
        <v>13</v>
      </c>
      <c r="J283" s="3" t="s">
        <v>19</v>
      </c>
      <c r="K283" s="3" t="n">
        <v>67.54</v>
      </c>
      <c r="L283" s="7" t="str">
        <f aca="false">IF(B283&lt;25,"Gen Z",IF(B283&lt;40,"Millennial",IF(B283&lt;55,"Gen X","Baby Boomer")))</f>
        <v>Gen X</v>
      </c>
      <c r="M283" s="7" t="str">
        <f aca="false">IF(E283&lt;50000,"Low Income",IF(E283&lt;80000,"Middle Income",IF(E283&lt;100000,"Upper Middle","High Income")))</f>
        <v>Low Income</v>
      </c>
      <c r="N283" s="7" t="str">
        <f aca="false">IF(F283&lt;=3,"Poor",IF(F283&lt;=6,"Average",IF(F283&lt;=8,"Good","Excellent")))</f>
        <v>Good</v>
      </c>
      <c r="O283" s="7" t="str">
        <f aca="false">IF(G283&lt;=3,"Poor",IF(G283&lt;=6,"Average",IF(G283&lt;=8,"Good","Excellent")))</f>
        <v>Poor</v>
      </c>
      <c r="P283" s="7" t="str">
        <f aca="false">IF(H283&lt;=5,"Low Frequency",IF(H283&lt;=10,"Moderate",IF(H283&lt;=15,"High","Very High")))</f>
        <v>Moderate</v>
      </c>
      <c r="Q283" s="7" t="str">
        <f aca="false">IF(K283&gt;=90,"Highly Satisfied",IF(K283&gt;=75,"Satisfied",IF(K283&gt;=60,"Neutral","Dissatisfied")))</f>
        <v>Neutral</v>
      </c>
      <c r="R283" s="7" t="str">
        <f aca="false">UPPER(LEFT(TRIM(J283),1))&amp;LOWER(MID(TRIM(J283),2,100))</f>
        <v>Silver</v>
      </c>
      <c r="S283" s="7" t="str">
        <f aca="false">IF(I283="High","Positive",IF(I283="Medium","Neutral","Negative"))</f>
        <v>Negative</v>
      </c>
      <c r="T283" s="7" t="str">
        <f aca="false">IF(AND(E283&gt;=80000,H283&gt;=15),"Premium",IF(AND(E283&gt;=50000,H283&gt;=10),"Standard","Basic"))</f>
        <v>Basic</v>
      </c>
      <c r="U283" s="7" t="str">
        <f aca="false">IF(AND(F283&gt;=7,G283&gt;=7),"High Quality Experience","Review Needed")</f>
        <v>Review Needed</v>
      </c>
      <c r="V283" s="7" t="str">
        <f aca="false">IF(H283&gt;=10,"Repeat Buyer","Occasional Buyer")</f>
        <v>Occasional Buyer</v>
      </c>
      <c r="W283" s="7" t="str">
        <f aca="false">IF(AND(K283&lt;70,I283="Low"),"At Risk","Stable")</f>
        <v>At Risk</v>
      </c>
      <c r="X283" s="7" t="str">
        <f aca="false">IF(AND(K283&lt;75,I283="Low",J283="Bronze"),"Priority Followup","No Action")</f>
        <v>No Action</v>
      </c>
    </row>
    <row r="284" customFormat="false" ht="15" hidden="false" customHeight="false" outlineLevel="0" collapsed="false">
      <c r="A284" s="2" t="n">
        <v>282</v>
      </c>
      <c r="B284" s="2" t="n">
        <v>42</v>
      </c>
      <c r="C284" s="2" t="s">
        <v>11</v>
      </c>
      <c r="D284" s="2" t="s">
        <v>22</v>
      </c>
      <c r="E284" s="2" t="n">
        <v>31937</v>
      </c>
      <c r="F284" s="2" t="n">
        <v>9</v>
      </c>
      <c r="G284" s="2" t="n">
        <v>8</v>
      </c>
      <c r="H284" s="2" t="n">
        <v>10</v>
      </c>
      <c r="I284" s="2" t="s">
        <v>21</v>
      </c>
      <c r="J284" s="2" t="s">
        <v>19</v>
      </c>
      <c r="K284" s="2" t="n">
        <v>100</v>
      </c>
      <c r="L284" s="8" t="str">
        <f aca="false">IF(B284&lt;25,"Gen Z",IF(B284&lt;40,"Millennial",IF(B284&lt;55,"Gen X","Baby Boomer")))</f>
        <v>Gen X</v>
      </c>
      <c r="M284" s="8" t="str">
        <f aca="false">IF(E284&lt;50000,"Low Income",IF(E284&lt;80000,"Middle Income",IF(E284&lt;100000,"Upper Middle","High Income")))</f>
        <v>Low Income</v>
      </c>
      <c r="N284" s="8" t="str">
        <f aca="false">IF(F284&lt;=3,"Poor",IF(F284&lt;=6,"Average",IF(F284&lt;=8,"Good","Excellent")))</f>
        <v>Excellent</v>
      </c>
      <c r="O284" s="8" t="str">
        <f aca="false">IF(G284&lt;=3,"Poor",IF(G284&lt;=6,"Average",IF(G284&lt;=8,"Good","Excellent")))</f>
        <v>Good</v>
      </c>
      <c r="P284" s="8" t="str">
        <f aca="false">IF(H284&lt;=5,"Low Frequency",IF(H284&lt;=10,"Moderate",IF(H284&lt;=15,"High","Very High")))</f>
        <v>Moderate</v>
      </c>
      <c r="Q284" s="8" t="str">
        <f aca="false">IF(K284&gt;=90,"Highly Satisfied",IF(K284&gt;=75,"Satisfied",IF(K284&gt;=60,"Neutral","Dissatisfied")))</f>
        <v>Highly Satisfied</v>
      </c>
      <c r="R284" s="8" t="str">
        <f aca="false">UPPER(LEFT(TRIM(J284),1))&amp;LOWER(MID(TRIM(J284),2,100))</f>
        <v>Silver</v>
      </c>
      <c r="S284" s="8" t="str">
        <f aca="false">IF(I284="High","Positive",IF(I284="Medium","Neutral","Negative"))</f>
        <v>Positive</v>
      </c>
      <c r="T284" s="8" t="str">
        <f aca="false">IF(AND(E284&gt;=80000,H284&gt;=15),"Premium",IF(AND(E284&gt;=50000,H284&gt;=10),"Standard","Basic"))</f>
        <v>Basic</v>
      </c>
      <c r="U284" s="8" t="str">
        <f aca="false">IF(AND(F284&gt;=7,G284&gt;=7),"High Quality Experience","Review Needed")</f>
        <v>High Quality Experience</v>
      </c>
      <c r="V284" s="8" t="str">
        <f aca="false">IF(H284&gt;=10,"Repeat Buyer","Occasional Buyer")</f>
        <v>Repeat Buyer</v>
      </c>
      <c r="W284" s="8" t="str">
        <f aca="false">IF(AND(K284&lt;70,I284="Low"),"At Risk","Stable")</f>
        <v>Stable</v>
      </c>
      <c r="X284" s="8" t="str">
        <f aca="false">IF(AND(K284&lt;75,I284="Low",J284="Bronze"),"Priority Followup","No Action")</f>
        <v>No Action</v>
      </c>
    </row>
    <row r="285" customFormat="false" ht="15" hidden="false" customHeight="false" outlineLevel="0" collapsed="false">
      <c r="A285" s="3" t="n">
        <v>283</v>
      </c>
      <c r="B285" s="3" t="n">
        <v>67</v>
      </c>
      <c r="C285" s="3" t="s">
        <v>17</v>
      </c>
      <c r="D285" s="3" t="s">
        <v>22</v>
      </c>
      <c r="E285" s="3" t="n">
        <v>111550</v>
      </c>
      <c r="F285" s="3" t="n">
        <v>1</v>
      </c>
      <c r="G285" s="3" t="n">
        <v>6</v>
      </c>
      <c r="H285" s="3" t="n">
        <v>19</v>
      </c>
      <c r="I285" s="3" t="s">
        <v>13</v>
      </c>
      <c r="J285" s="3" t="s">
        <v>14</v>
      </c>
      <c r="K285" s="3" t="n">
        <v>84.45</v>
      </c>
      <c r="L285" s="7" t="str">
        <f aca="false">IF(B285&lt;25,"Gen Z",IF(B285&lt;40,"Millennial",IF(B285&lt;55,"Gen X","Baby Boomer")))</f>
        <v>Baby Boomer</v>
      </c>
      <c r="M285" s="7" t="str">
        <f aca="false">IF(E285&lt;50000,"Low Income",IF(E285&lt;80000,"Middle Income",IF(E285&lt;100000,"Upper Middle","High Income")))</f>
        <v>High Income</v>
      </c>
      <c r="N285" s="7" t="str">
        <f aca="false">IF(F285&lt;=3,"Poor",IF(F285&lt;=6,"Average",IF(F285&lt;=8,"Good","Excellent")))</f>
        <v>Poor</v>
      </c>
      <c r="O285" s="7" t="str">
        <f aca="false">IF(G285&lt;=3,"Poor",IF(G285&lt;=6,"Average",IF(G285&lt;=8,"Good","Excellent")))</f>
        <v>Average</v>
      </c>
      <c r="P285" s="7" t="str">
        <f aca="false">IF(H285&lt;=5,"Low Frequency",IF(H285&lt;=10,"Moderate",IF(H285&lt;=15,"High","Very High")))</f>
        <v>Very High</v>
      </c>
      <c r="Q285" s="7" t="str">
        <f aca="false">IF(K285&gt;=90,"Highly Satisfied",IF(K285&gt;=75,"Satisfied",IF(K285&gt;=60,"Neutral","Dissatisfied")))</f>
        <v>Satisfied</v>
      </c>
      <c r="R285" s="7" t="str">
        <f aca="false">UPPER(LEFT(TRIM(J285),1))&amp;LOWER(MID(TRIM(J285),2,100))</f>
        <v>Bronze</v>
      </c>
      <c r="S285" s="7" t="str">
        <f aca="false">IF(I285="High","Positive",IF(I285="Medium","Neutral","Negative"))</f>
        <v>Negative</v>
      </c>
      <c r="T285" s="7" t="str">
        <f aca="false">IF(AND(E285&gt;=80000,H285&gt;=15),"Premium",IF(AND(E285&gt;=50000,H285&gt;=10),"Standard","Basic"))</f>
        <v>Premium</v>
      </c>
      <c r="U285" s="7" t="str">
        <f aca="false">IF(AND(F285&gt;=7,G285&gt;=7),"High Quality Experience","Review Needed")</f>
        <v>Review Needed</v>
      </c>
      <c r="V285" s="7" t="str">
        <f aca="false">IF(H285&gt;=10,"Repeat Buyer","Occasional Buyer")</f>
        <v>Repeat Buyer</v>
      </c>
      <c r="W285" s="7" t="str">
        <f aca="false">IF(AND(K285&lt;70,I285="Low"),"At Risk","Stable")</f>
        <v>Stable</v>
      </c>
      <c r="X285" s="7" t="str">
        <f aca="false">IF(AND(K285&lt;75,I285="Low",J285="Bronze"),"Priority Followup","No Action")</f>
        <v>No Action</v>
      </c>
    </row>
    <row r="286" customFormat="false" ht="15" hidden="false" customHeight="false" outlineLevel="0" collapsed="false">
      <c r="A286" s="2" t="n">
        <v>284</v>
      </c>
      <c r="B286" s="2" t="n">
        <v>40</v>
      </c>
      <c r="C286" s="2" t="s">
        <v>11</v>
      </c>
      <c r="D286" s="2" t="s">
        <v>23</v>
      </c>
      <c r="E286" s="2" t="n">
        <v>89850</v>
      </c>
      <c r="F286" s="2" t="n">
        <v>9</v>
      </c>
      <c r="G286" s="2" t="n">
        <v>6</v>
      </c>
      <c r="H286" s="2" t="n">
        <v>8</v>
      </c>
      <c r="I286" s="2" t="s">
        <v>21</v>
      </c>
      <c r="J286" s="2" t="s">
        <v>16</v>
      </c>
      <c r="K286" s="2" t="n">
        <v>100</v>
      </c>
      <c r="L286" s="8" t="str">
        <f aca="false">IF(B286&lt;25,"Gen Z",IF(B286&lt;40,"Millennial",IF(B286&lt;55,"Gen X","Baby Boomer")))</f>
        <v>Gen X</v>
      </c>
      <c r="M286" s="8" t="str">
        <f aca="false">IF(E286&lt;50000,"Low Income",IF(E286&lt;80000,"Middle Income",IF(E286&lt;100000,"Upper Middle","High Income")))</f>
        <v>Upper Middle</v>
      </c>
      <c r="N286" s="8" t="str">
        <f aca="false">IF(F286&lt;=3,"Poor",IF(F286&lt;=6,"Average",IF(F286&lt;=8,"Good","Excellent")))</f>
        <v>Excellent</v>
      </c>
      <c r="O286" s="8" t="str">
        <f aca="false">IF(G286&lt;=3,"Poor",IF(G286&lt;=6,"Average",IF(G286&lt;=8,"Good","Excellent")))</f>
        <v>Average</v>
      </c>
      <c r="P286" s="8" t="str">
        <f aca="false">IF(H286&lt;=5,"Low Frequency",IF(H286&lt;=10,"Moderate",IF(H286&lt;=15,"High","Very High")))</f>
        <v>Moderate</v>
      </c>
      <c r="Q286" s="8" t="str">
        <f aca="false">IF(K286&gt;=90,"Highly Satisfied",IF(K286&gt;=75,"Satisfied",IF(K286&gt;=60,"Neutral","Dissatisfied")))</f>
        <v>Highly Satisfied</v>
      </c>
      <c r="R286" s="8" t="str">
        <f aca="false">UPPER(LEFT(TRIM(J286),1))&amp;LOWER(MID(TRIM(J286),2,100))</f>
        <v>Gold</v>
      </c>
      <c r="S286" s="8" t="str">
        <f aca="false">IF(I286="High","Positive",IF(I286="Medium","Neutral","Negative"))</f>
        <v>Positive</v>
      </c>
      <c r="T286" s="8" t="str">
        <f aca="false">IF(AND(E286&gt;=80000,H286&gt;=15),"Premium",IF(AND(E286&gt;=50000,H286&gt;=10),"Standard","Basic"))</f>
        <v>Basic</v>
      </c>
      <c r="U286" s="8" t="str">
        <f aca="false">IF(AND(F286&gt;=7,G286&gt;=7),"High Quality Experience","Review Needed")</f>
        <v>Review Needed</v>
      </c>
      <c r="V286" s="8" t="str">
        <f aca="false">IF(H286&gt;=10,"Repeat Buyer","Occasional Buyer")</f>
        <v>Occasional Buyer</v>
      </c>
      <c r="W286" s="8" t="str">
        <f aca="false">IF(AND(K286&lt;70,I286="Low"),"At Risk","Stable")</f>
        <v>Stable</v>
      </c>
      <c r="X286" s="8" t="str">
        <f aca="false">IF(AND(K286&lt;75,I286="Low",J286="Bronze"),"Priority Followup","No Action")</f>
        <v>No Action</v>
      </c>
    </row>
    <row r="287" customFormat="false" ht="15" hidden="false" customHeight="false" outlineLevel="0" collapsed="false">
      <c r="A287" s="3" t="n">
        <v>285</v>
      </c>
      <c r="B287" s="3" t="n">
        <v>48</v>
      </c>
      <c r="C287" s="3" t="s">
        <v>17</v>
      </c>
      <c r="D287" s="3" t="s">
        <v>22</v>
      </c>
      <c r="E287" s="3" t="n">
        <v>112904</v>
      </c>
      <c r="F287" s="3" t="n">
        <v>1</v>
      </c>
      <c r="G287" s="3" t="n">
        <v>2</v>
      </c>
      <c r="H287" s="3" t="n">
        <v>19</v>
      </c>
      <c r="I287" s="3" t="s">
        <v>15</v>
      </c>
      <c r="J287" s="3" t="s">
        <v>14</v>
      </c>
      <c r="K287" s="3" t="n">
        <v>58.35</v>
      </c>
      <c r="L287" s="7" t="str">
        <f aca="false">IF(B287&lt;25,"Gen Z",IF(B287&lt;40,"Millennial",IF(B287&lt;55,"Gen X","Baby Boomer")))</f>
        <v>Gen X</v>
      </c>
      <c r="M287" s="7" t="str">
        <f aca="false">IF(E287&lt;50000,"Low Income",IF(E287&lt;80000,"Middle Income",IF(E287&lt;100000,"Upper Middle","High Income")))</f>
        <v>High Income</v>
      </c>
      <c r="N287" s="7" t="str">
        <f aca="false">IF(F287&lt;=3,"Poor",IF(F287&lt;=6,"Average",IF(F287&lt;=8,"Good","Excellent")))</f>
        <v>Poor</v>
      </c>
      <c r="O287" s="7" t="str">
        <f aca="false">IF(G287&lt;=3,"Poor",IF(G287&lt;=6,"Average",IF(G287&lt;=8,"Good","Excellent")))</f>
        <v>Poor</v>
      </c>
      <c r="P287" s="7" t="str">
        <f aca="false">IF(H287&lt;=5,"Low Frequency",IF(H287&lt;=10,"Moderate",IF(H287&lt;=15,"High","Very High")))</f>
        <v>Very High</v>
      </c>
      <c r="Q287" s="7" t="str">
        <f aca="false">IF(K287&gt;=90,"Highly Satisfied",IF(K287&gt;=75,"Satisfied",IF(K287&gt;=60,"Neutral","Dissatisfied")))</f>
        <v>Dissatisfied</v>
      </c>
      <c r="R287" s="7" t="str">
        <f aca="false">UPPER(LEFT(TRIM(J287),1))&amp;LOWER(MID(TRIM(J287),2,100))</f>
        <v>Bronze</v>
      </c>
      <c r="S287" s="7" t="str">
        <f aca="false">IF(I287="High","Positive",IF(I287="Medium","Neutral","Negative"))</f>
        <v>Neutral</v>
      </c>
      <c r="T287" s="7" t="str">
        <f aca="false">IF(AND(E287&gt;=80000,H287&gt;=15),"Premium",IF(AND(E287&gt;=50000,H287&gt;=10),"Standard","Basic"))</f>
        <v>Premium</v>
      </c>
      <c r="U287" s="7" t="str">
        <f aca="false">IF(AND(F287&gt;=7,G287&gt;=7),"High Quality Experience","Review Needed")</f>
        <v>Review Needed</v>
      </c>
      <c r="V287" s="7" t="str">
        <f aca="false">IF(H287&gt;=10,"Repeat Buyer","Occasional Buyer")</f>
        <v>Repeat Buyer</v>
      </c>
      <c r="W287" s="7" t="str">
        <f aca="false">IF(AND(K287&lt;70,I287="Low"),"At Risk","Stable")</f>
        <v>Stable</v>
      </c>
      <c r="X287" s="7" t="str">
        <f aca="false">IF(AND(K287&lt;75,I287="Low",J287="Bronze"),"Priority Followup","No Action")</f>
        <v>No Action</v>
      </c>
    </row>
    <row r="288" customFormat="false" ht="15" hidden="false" customHeight="false" outlineLevel="0" collapsed="false">
      <c r="A288" s="2" t="n">
        <v>286</v>
      </c>
      <c r="B288" s="2" t="n">
        <v>47</v>
      </c>
      <c r="C288" s="2" t="s">
        <v>17</v>
      </c>
      <c r="D288" s="2" t="s">
        <v>22</v>
      </c>
      <c r="E288" s="2" t="n">
        <v>79960</v>
      </c>
      <c r="F288" s="2" t="n">
        <v>10</v>
      </c>
      <c r="G288" s="2" t="n">
        <v>9</v>
      </c>
      <c r="H288" s="2" t="n">
        <v>7</v>
      </c>
      <c r="I288" s="2" t="s">
        <v>15</v>
      </c>
      <c r="J288" s="2" t="s">
        <v>16</v>
      </c>
      <c r="K288" s="2" t="n">
        <v>100</v>
      </c>
      <c r="L288" s="8" t="str">
        <f aca="false">IF(B288&lt;25,"Gen Z",IF(B288&lt;40,"Millennial",IF(B288&lt;55,"Gen X","Baby Boomer")))</f>
        <v>Gen X</v>
      </c>
      <c r="M288" s="8" t="str">
        <f aca="false">IF(E288&lt;50000,"Low Income",IF(E288&lt;80000,"Middle Income",IF(E288&lt;100000,"Upper Middle","High Income")))</f>
        <v>Middle Income</v>
      </c>
      <c r="N288" s="8" t="str">
        <f aca="false">IF(F288&lt;=3,"Poor",IF(F288&lt;=6,"Average",IF(F288&lt;=8,"Good","Excellent")))</f>
        <v>Excellent</v>
      </c>
      <c r="O288" s="8" t="str">
        <f aca="false">IF(G288&lt;=3,"Poor",IF(G288&lt;=6,"Average",IF(G288&lt;=8,"Good","Excellent")))</f>
        <v>Excellent</v>
      </c>
      <c r="P288" s="8" t="str">
        <f aca="false">IF(H288&lt;=5,"Low Frequency",IF(H288&lt;=10,"Moderate",IF(H288&lt;=15,"High","Very High")))</f>
        <v>Moderate</v>
      </c>
      <c r="Q288" s="8" t="str">
        <f aca="false">IF(K288&gt;=90,"Highly Satisfied",IF(K288&gt;=75,"Satisfied",IF(K288&gt;=60,"Neutral","Dissatisfied")))</f>
        <v>Highly Satisfied</v>
      </c>
      <c r="R288" s="8" t="str">
        <f aca="false">UPPER(LEFT(TRIM(J288),1))&amp;LOWER(MID(TRIM(J288),2,100))</f>
        <v>Gold</v>
      </c>
      <c r="S288" s="8" t="str">
        <f aca="false">IF(I288="High","Positive",IF(I288="Medium","Neutral","Negative"))</f>
        <v>Neutral</v>
      </c>
      <c r="T288" s="8" t="str">
        <f aca="false">IF(AND(E288&gt;=80000,H288&gt;=15),"Premium",IF(AND(E288&gt;=50000,H288&gt;=10),"Standard","Basic"))</f>
        <v>Basic</v>
      </c>
      <c r="U288" s="8" t="str">
        <f aca="false">IF(AND(F288&gt;=7,G288&gt;=7),"High Quality Experience","Review Needed")</f>
        <v>High Quality Experience</v>
      </c>
      <c r="V288" s="8" t="str">
        <f aca="false">IF(H288&gt;=10,"Repeat Buyer","Occasional Buyer")</f>
        <v>Occasional Buyer</v>
      </c>
      <c r="W288" s="8" t="str">
        <f aca="false">IF(AND(K288&lt;70,I288="Low"),"At Risk","Stable")</f>
        <v>Stable</v>
      </c>
      <c r="X288" s="8" t="str">
        <f aca="false">IF(AND(K288&lt;75,I288="Low",J288="Bronze"),"Priority Followup","No Action")</f>
        <v>No Action</v>
      </c>
    </row>
    <row r="289" customFormat="false" ht="15" hidden="false" customHeight="false" outlineLevel="0" collapsed="false">
      <c r="A289" s="3" t="n">
        <v>287</v>
      </c>
      <c r="B289" s="3" t="n">
        <v>59</v>
      </c>
      <c r="C289" s="3" t="s">
        <v>11</v>
      </c>
      <c r="D289" s="3" t="s">
        <v>20</v>
      </c>
      <c r="E289" s="3" t="n">
        <v>86941</v>
      </c>
      <c r="F289" s="3" t="n">
        <v>7</v>
      </c>
      <c r="G289" s="3" t="n">
        <v>5</v>
      </c>
      <c r="H289" s="3" t="n">
        <v>1</v>
      </c>
      <c r="I289" s="3" t="s">
        <v>13</v>
      </c>
      <c r="J289" s="3" t="s">
        <v>16</v>
      </c>
      <c r="K289" s="3" t="n">
        <v>98.36</v>
      </c>
      <c r="L289" s="7" t="str">
        <f aca="false">IF(B289&lt;25,"Gen Z",IF(B289&lt;40,"Millennial",IF(B289&lt;55,"Gen X","Baby Boomer")))</f>
        <v>Baby Boomer</v>
      </c>
      <c r="M289" s="7" t="str">
        <f aca="false">IF(E289&lt;50000,"Low Income",IF(E289&lt;80000,"Middle Income",IF(E289&lt;100000,"Upper Middle","High Income")))</f>
        <v>Upper Middle</v>
      </c>
      <c r="N289" s="7" t="str">
        <f aca="false">IF(F289&lt;=3,"Poor",IF(F289&lt;=6,"Average",IF(F289&lt;=8,"Good","Excellent")))</f>
        <v>Good</v>
      </c>
      <c r="O289" s="7" t="str">
        <f aca="false">IF(G289&lt;=3,"Poor",IF(G289&lt;=6,"Average",IF(G289&lt;=8,"Good","Excellent")))</f>
        <v>Average</v>
      </c>
      <c r="P289" s="7" t="str">
        <f aca="false">IF(H289&lt;=5,"Low Frequency",IF(H289&lt;=10,"Moderate",IF(H289&lt;=15,"High","Very High")))</f>
        <v>Low Frequency</v>
      </c>
      <c r="Q289" s="7" t="str">
        <f aca="false">IF(K289&gt;=90,"Highly Satisfied",IF(K289&gt;=75,"Satisfied",IF(K289&gt;=60,"Neutral","Dissatisfied")))</f>
        <v>Highly Satisfied</v>
      </c>
      <c r="R289" s="7" t="str">
        <f aca="false">UPPER(LEFT(TRIM(J289),1))&amp;LOWER(MID(TRIM(J289),2,100))</f>
        <v>Gold</v>
      </c>
      <c r="S289" s="7" t="str">
        <f aca="false">IF(I289="High","Positive",IF(I289="Medium","Neutral","Negative"))</f>
        <v>Negative</v>
      </c>
      <c r="T289" s="7" t="str">
        <f aca="false">IF(AND(E289&gt;=80000,H289&gt;=15),"Premium",IF(AND(E289&gt;=50000,H289&gt;=10),"Standard","Basic"))</f>
        <v>Basic</v>
      </c>
      <c r="U289" s="7" t="str">
        <f aca="false">IF(AND(F289&gt;=7,G289&gt;=7),"High Quality Experience","Review Needed")</f>
        <v>Review Needed</v>
      </c>
      <c r="V289" s="7" t="str">
        <f aca="false">IF(H289&gt;=10,"Repeat Buyer","Occasional Buyer")</f>
        <v>Occasional Buyer</v>
      </c>
      <c r="W289" s="7" t="str">
        <f aca="false">IF(AND(K289&lt;70,I289="Low"),"At Risk","Stable")</f>
        <v>Stable</v>
      </c>
      <c r="X289" s="7" t="str">
        <f aca="false">IF(AND(K289&lt;75,I289="Low",J289="Bronze"),"Priority Followup","No Action")</f>
        <v>No Action</v>
      </c>
    </row>
    <row r="290" customFormat="false" ht="15" hidden="false" customHeight="false" outlineLevel="0" collapsed="false">
      <c r="A290" s="2" t="n">
        <v>288</v>
      </c>
      <c r="B290" s="2" t="n">
        <v>52</v>
      </c>
      <c r="C290" s="2" t="s">
        <v>17</v>
      </c>
      <c r="D290" s="2" t="s">
        <v>12</v>
      </c>
      <c r="E290" s="2" t="n">
        <v>62474</v>
      </c>
      <c r="F290" s="2" t="n">
        <v>2</v>
      </c>
      <c r="G290" s="2" t="n">
        <v>7</v>
      </c>
      <c r="H290" s="2" t="n">
        <v>18</v>
      </c>
      <c r="I290" s="2" t="s">
        <v>21</v>
      </c>
      <c r="J290" s="2" t="s">
        <v>16</v>
      </c>
      <c r="K290" s="2" t="n">
        <v>86.92</v>
      </c>
      <c r="L290" s="8" t="str">
        <f aca="false">IF(B290&lt;25,"Gen Z",IF(B290&lt;40,"Millennial",IF(B290&lt;55,"Gen X","Baby Boomer")))</f>
        <v>Gen X</v>
      </c>
      <c r="M290" s="8" t="str">
        <f aca="false">IF(E290&lt;50000,"Low Income",IF(E290&lt;80000,"Middle Income",IF(E290&lt;100000,"Upper Middle","High Income")))</f>
        <v>Middle Income</v>
      </c>
      <c r="N290" s="8" t="str">
        <f aca="false">IF(F290&lt;=3,"Poor",IF(F290&lt;=6,"Average",IF(F290&lt;=8,"Good","Excellent")))</f>
        <v>Poor</v>
      </c>
      <c r="O290" s="8" t="str">
        <f aca="false">IF(G290&lt;=3,"Poor",IF(G290&lt;=6,"Average",IF(G290&lt;=8,"Good","Excellent")))</f>
        <v>Good</v>
      </c>
      <c r="P290" s="8" t="str">
        <f aca="false">IF(H290&lt;=5,"Low Frequency",IF(H290&lt;=10,"Moderate",IF(H290&lt;=15,"High","Very High")))</f>
        <v>Very High</v>
      </c>
      <c r="Q290" s="8" t="str">
        <f aca="false">IF(K290&gt;=90,"Highly Satisfied",IF(K290&gt;=75,"Satisfied",IF(K290&gt;=60,"Neutral","Dissatisfied")))</f>
        <v>Satisfied</v>
      </c>
      <c r="R290" s="8" t="str">
        <f aca="false">UPPER(LEFT(TRIM(J290),1))&amp;LOWER(MID(TRIM(J290),2,100))</f>
        <v>Gold</v>
      </c>
      <c r="S290" s="8" t="str">
        <f aca="false">IF(I290="High","Positive",IF(I290="Medium","Neutral","Negative"))</f>
        <v>Positive</v>
      </c>
      <c r="T290" s="8" t="str">
        <f aca="false">IF(AND(E290&gt;=80000,H290&gt;=15),"Premium",IF(AND(E290&gt;=50000,H290&gt;=10),"Standard","Basic"))</f>
        <v>Standard</v>
      </c>
      <c r="U290" s="8" t="str">
        <f aca="false">IF(AND(F290&gt;=7,G290&gt;=7),"High Quality Experience","Review Needed")</f>
        <v>Review Needed</v>
      </c>
      <c r="V290" s="8" t="str">
        <f aca="false">IF(H290&gt;=10,"Repeat Buyer","Occasional Buyer")</f>
        <v>Repeat Buyer</v>
      </c>
      <c r="W290" s="8" t="str">
        <f aca="false">IF(AND(K290&lt;70,I290="Low"),"At Risk","Stable")</f>
        <v>Stable</v>
      </c>
      <c r="X290" s="8" t="str">
        <f aca="false">IF(AND(K290&lt;75,I290="Low",J290="Bronze"),"Priority Followup","No Action")</f>
        <v>No Action</v>
      </c>
    </row>
    <row r="291" customFormat="false" ht="15" hidden="false" customHeight="false" outlineLevel="0" collapsed="false">
      <c r="A291" s="3" t="n">
        <v>289</v>
      </c>
      <c r="B291" s="3" t="n">
        <v>24</v>
      </c>
      <c r="C291" s="3" t="s">
        <v>11</v>
      </c>
      <c r="D291" s="3" t="s">
        <v>22</v>
      </c>
      <c r="E291" s="3" t="n">
        <v>74107</v>
      </c>
      <c r="F291" s="3" t="n">
        <v>4</v>
      </c>
      <c r="G291" s="3" t="n">
        <v>3</v>
      </c>
      <c r="H291" s="3" t="n">
        <v>16</v>
      </c>
      <c r="I291" s="3" t="s">
        <v>15</v>
      </c>
      <c r="J291" s="3" t="s">
        <v>16</v>
      </c>
      <c r="K291" s="3" t="n">
        <v>57.58</v>
      </c>
      <c r="L291" s="7" t="str">
        <f aca="false">IF(B291&lt;25,"Gen Z",IF(B291&lt;40,"Millennial",IF(B291&lt;55,"Gen X","Baby Boomer")))</f>
        <v>Gen Z</v>
      </c>
      <c r="M291" s="7" t="str">
        <f aca="false">IF(E291&lt;50000,"Low Income",IF(E291&lt;80000,"Middle Income",IF(E291&lt;100000,"Upper Middle","High Income")))</f>
        <v>Middle Income</v>
      </c>
      <c r="N291" s="7" t="str">
        <f aca="false">IF(F291&lt;=3,"Poor",IF(F291&lt;=6,"Average",IF(F291&lt;=8,"Good","Excellent")))</f>
        <v>Average</v>
      </c>
      <c r="O291" s="7" t="str">
        <f aca="false">IF(G291&lt;=3,"Poor",IF(G291&lt;=6,"Average",IF(G291&lt;=8,"Good","Excellent")))</f>
        <v>Poor</v>
      </c>
      <c r="P291" s="7" t="str">
        <f aca="false">IF(H291&lt;=5,"Low Frequency",IF(H291&lt;=10,"Moderate",IF(H291&lt;=15,"High","Very High")))</f>
        <v>Very High</v>
      </c>
      <c r="Q291" s="7" t="str">
        <f aca="false">IF(K291&gt;=90,"Highly Satisfied",IF(K291&gt;=75,"Satisfied",IF(K291&gt;=60,"Neutral","Dissatisfied")))</f>
        <v>Dissatisfied</v>
      </c>
      <c r="R291" s="7" t="str">
        <f aca="false">UPPER(LEFT(TRIM(J291),1))&amp;LOWER(MID(TRIM(J291),2,100))</f>
        <v>Gold</v>
      </c>
      <c r="S291" s="7" t="str">
        <f aca="false">IF(I291="High","Positive",IF(I291="Medium","Neutral","Negative"))</f>
        <v>Neutral</v>
      </c>
      <c r="T291" s="7" t="str">
        <f aca="false">IF(AND(E291&gt;=80000,H291&gt;=15),"Premium",IF(AND(E291&gt;=50000,H291&gt;=10),"Standard","Basic"))</f>
        <v>Standard</v>
      </c>
      <c r="U291" s="7" t="str">
        <f aca="false">IF(AND(F291&gt;=7,G291&gt;=7),"High Quality Experience","Review Needed")</f>
        <v>Review Needed</v>
      </c>
      <c r="V291" s="7" t="str">
        <f aca="false">IF(H291&gt;=10,"Repeat Buyer","Occasional Buyer")</f>
        <v>Repeat Buyer</v>
      </c>
      <c r="W291" s="7" t="str">
        <f aca="false">IF(AND(K291&lt;70,I291="Low"),"At Risk","Stable")</f>
        <v>Stable</v>
      </c>
      <c r="X291" s="7" t="str">
        <f aca="false">IF(AND(K291&lt;75,I291="Low",J291="Bronze"),"Priority Followup","No Action")</f>
        <v>No Action</v>
      </c>
    </row>
    <row r="292" customFormat="false" ht="15" hidden="false" customHeight="false" outlineLevel="0" collapsed="false">
      <c r="A292" s="2" t="n">
        <v>290</v>
      </c>
      <c r="B292" s="2" t="n">
        <v>33</v>
      </c>
      <c r="C292" s="2" t="s">
        <v>11</v>
      </c>
      <c r="D292" s="2" t="s">
        <v>12</v>
      </c>
      <c r="E292" s="2" t="n">
        <v>47608</v>
      </c>
      <c r="F292" s="2" t="n">
        <v>8</v>
      </c>
      <c r="G292" s="2" t="n">
        <v>9</v>
      </c>
      <c r="H292" s="2" t="n">
        <v>5</v>
      </c>
      <c r="I292" s="2" t="s">
        <v>13</v>
      </c>
      <c r="J292" s="2" t="s">
        <v>16</v>
      </c>
      <c r="K292" s="2" t="n">
        <v>100</v>
      </c>
      <c r="L292" s="8" t="str">
        <f aca="false">IF(B292&lt;25,"Gen Z",IF(B292&lt;40,"Millennial",IF(B292&lt;55,"Gen X","Baby Boomer")))</f>
        <v>Millennial</v>
      </c>
      <c r="M292" s="8" t="str">
        <f aca="false">IF(E292&lt;50000,"Low Income",IF(E292&lt;80000,"Middle Income",IF(E292&lt;100000,"Upper Middle","High Income")))</f>
        <v>Low Income</v>
      </c>
      <c r="N292" s="8" t="str">
        <f aca="false">IF(F292&lt;=3,"Poor",IF(F292&lt;=6,"Average",IF(F292&lt;=8,"Good","Excellent")))</f>
        <v>Good</v>
      </c>
      <c r="O292" s="8" t="str">
        <f aca="false">IF(G292&lt;=3,"Poor",IF(G292&lt;=6,"Average",IF(G292&lt;=8,"Good","Excellent")))</f>
        <v>Excellent</v>
      </c>
      <c r="P292" s="8" t="str">
        <f aca="false">IF(H292&lt;=5,"Low Frequency",IF(H292&lt;=10,"Moderate",IF(H292&lt;=15,"High","Very High")))</f>
        <v>Low Frequency</v>
      </c>
      <c r="Q292" s="8" t="str">
        <f aca="false">IF(K292&gt;=90,"Highly Satisfied",IF(K292&gt;=75,"Satisfied",IF(K292&gt;=60,"Neutral","Dissatisfied")))</f>
        <v>Highly Satisfied</v>
      </c>
      <c r="R292" s="8" t="str">
        <f aca="false">UPPER(LEFT(TRIM(J292),1))&amp;LOWER(MID(TRIM(J292),2,100))</f>
        <v>Gold</v>
      </c>
      <c r="S292" s="8" t="str">
        <f aca="false">IF(I292="High","Positive",IF(I292="Medium","Neutral","Negative"))</f>
        <v>Negative</v>
      </c>
      <c r="T292" s="8" t="str">
        <f aca="false">IF(AND(E292&gt;=80000,H292&gt;=15),"Premium",IF(AND(E292&gt;=50000,H292&gt;=10),"Standard","Basic"))</f>
        <v>Basic</v>
      </c>
      <c r="U292" s="8" t="str">
        <f aca="false">IF(AND(F292&gt;=7,G292&gt;=7),"High Quality Experience","Review Needed")</f>
        <v>High Quality Experience</v>
      </c>
      <c r="V292" s="8" t="str">
        <f aca="false">IF(H292&gt;=10,"Repeat Buyer","Occasional Buyer")</f>
        <v>Occasional Buyer</v>
      </c>
      <c r="W292" s="8" t="str">
        <f aca="false">IF(AND(K292&lt;70,I292="Low"),"At Risk","Stable")</f>
        <v>Stable</v>
      </c>
      <c r="X292" s="8" t="str">
        <f aca="false">IF(AND(K292&lt;75,I292="Low",J292="Bronze"),"Priority Followup","No Action")</f>
        <v>No Action</v>
      </c>
    </row>
    <row r="293" customFormat="false" ht="15" hidden="false" customHeight="false" outlineLevel="0" collapsed="false">
      <c r="A293" s="3" t="n">
        <v>291</v>
      </c>
      <c r="B293" s="3" t="n">
        <v>43</v>
      </c>
      <c r="C293" s="3" t="s">
        <v>11</v>
      </c>
      <c r="D293" s="3" t="s">
        <v>22</v>
      </c>
      <c r="E293" s="3" t="n">
        <v>112292</v>
      </c>
      <c r="F293" s="3" t="n">
        <v>8</v>
      </c>
      <c r="G293" s="3" t="n">
        <v>4</v>
      </c>
      <c r="H293" s="3" t="n">
        <v>7</v>
      </c>
      <c r="I293" s="3" t="s">
        <v>13</v>
      </c>
      <c r="J293" s="3" t="s">
        <v>19</v>
      </c>
      <c r="K293" s="3" t="n">
        <v>85.47</v>
      </c>
      <c r="L293" s="7" t="str">
        <f aca="false">IF(B293&lt;25,"Gen Z",IF(B293&lt;40,"Millennial",IF(B293&lt;55,"Gen X","Baby Boomer")))</f>
        <v>Gen X</v>
      </c>
      <c r="M293" s="7" t="str">
        <f aca="false">IF(E293&lt;50000,"Low Income",IF(E293&lt;80000,"Middle Income",IF(E293&lt;100000,"Upper Middle","High Income")))</f>
        <v>High Income</v>
      </c>
      <c r="N293" s="7" t="str">
        <f aca="false">IF(F293&lt;=3,"Poor",IF(F293&lt;=6,"Average",IF(F293&lt;=8,"Good","Excellent")))</f>
        <v>Good</v>
      </c>
      <c r="O293" s="7" t="str">
        <f aca="false">IF(G293&lt;=3,"Poor",IF(G293&lt;=6,"Average",IF(G293&lt;=8,"Good","Excellent")))</f>
        <v>Average</v>
      </c>
      <c r="P293" s="7" t="str">
        <f aca="false">IF(H293&lt;=5,"Low Frequency",IF(H293&lt;=10,"Moderate",IF(H293&lt;=15,"High","Very High")))</f>
        <v>Moderate</v>
      </c>
      <c r="Q293" s="7" t="str">
        <f aca="false">IF(K293&gt;=90,"Highly Satisfied",IF(K293&gt;=75,"Satisfied",IF(K293&gt;=60,"Neutral","Dissatisfied")))</f>
        <v>Satisfied</v>
      </c>
      <c r="R293" s="7" t="str">
        <f aca="false">UPPER(LEFT(TRIM(J293),1))&amp;LOWER(MID(TRIM(J293),2,100))</f>
        <v>Silver</v>
      </c>
      <c r="S293" s="7" t="str">
        <f aca="false">IF(I293="High","Positive",IF(I293="Medium","Neutral","Negative"))</f>
        <v>Negative</v>
      </c>
      <c r="T293" s="7" t="str">
        <f aca="false">IF(AND(E293&gt;=80000,H293&gt;=15),"Premium",IF(AND(E293&gt;=50000,H293&gt;=10),"Standard","Basic"))</f>
        <v>Basic</v>
      </c>
      <c r="U293" s="7" t="str">
        <f aca="false">IF(AND(F293&gt;=7,G293&gt;=7),"High Quality Experience","Review Needed")</f>
        <v>Review Needed</v>
      </c>
      <c r="V293" s="7" t="str">
        <f aca="false">IF(H293&gt;=10,"Repeat Buyer","Occasional Buyer")</f>
        <v>Occasional Buyer</v>
      </c>
      <c r="W293" s="7" t="str">
        <f aca="false">IF(AND(K293&lt;70,I293="Low"),"At Risk","Stable")</f>
        <v>Stable</v>
      </c>
      <c r="X293" s="7" t="str">
        <f aca="false">IF(AND(K293&lt;75,I293="Low",J293="Bronze"),"Priority Followup","No Action")</f>
        <v>No Action</v>
      </c>
    </row>
    <row r="294" customFormat="false" ht="15" hidden="false" customHeight="false" outlineLevel="0" collapsed="false">
      <c r="A294" s="2" t="n">
        <v>292</v>
      </c>
      <c r="B294" s="2" t="n">
        <v>65</v>
      </c>
      <c r="C294" s="2" t="s">
        <v>17</v>
      </c>
      <c r="D294" s="2" t="s">
        <v>23</v>
      </c>
      <c r="E294" s="2" t="n">
        <v>115313</v>
      </c>
      <c r="F294" s="2" t="n">
        <v>10</v>
      </c>
      <c r="G294" s="2" t="n">
        <v>9</v>
      </c>
      <c r="H294" s="2" t="n">
        <v>11</v>
      </c>
      <c r="I294" s="2" t="s">
        <v>21</v>
      </c>
      <c r="J294" s="2" t="s">
        <v>16</v>
      </c>
      <c r="K294" s="2" t="n">
        <v>100</v>
      </c>
      <c r="L294" s="8" t="str">
        <f aca="false">IF(B294&lt;25,"Gen Z",IF(B294&lt;40,"Millennial",IF(B294&lt;55,"Gen X","Baby Boomer")))</f>
        <v>Baby Boomer</v>
      </c>
      <c r="M294" s="8" t="str">
        <f aca="false">IF(E294&lt;50000,"Low Income",IF(E294&lt;80000,"Middle Income",IF(E294&lt;100000,"Upper Middle","High Income")))</f>
        <v>High Income</v>
      </c>
      <c r="N294" s="8" t="str">
        <f aca="false">IF(F294&lt;=3,"Poor",IF(F294&lt;=6,"Average",IF(F294&lt;=8,"Good","Excellent")))</f>
        <v>Excellent</v>
      </c>
      <c r="O294" s="8" t="str">
        <f aca="false">IF(G294&lt;=3,"Poor",IF(G294&lt;=6,"Average",IF(G294&lt;=8,"Good","Excellent")))</f>
        <v>Excellent</v>
      </c>
      <c r="P294" s="8" t="str">
        <f aca="false">IF(H294&lt;=5,"Low Frequency",IF(H294&lt;=10,"Moderate",IF(H294&lt;=15,"High","Very High")))</f>
        <v>High</v>
      </c>
      <c r="Q294" s="8" t="str">
        <f aca="false">IF(K294&gt;=90,"Highly Satisfied",IF(K294&gt;=75,"Satisfied",IF(K294&gt;=60,"Neutral","Dissatisfied")))</f>
        <v>Highly Satisfied</v>
      </c>
      <c r="R294" s="8" t="str">
        <f aca="false">UPPER(LEFT(TRIM(J294),1))&amp;LOWER(MID(TRIM(J294),2,100))</f>
        <v>Gold</v>
      </c>
      <c r="S294" s="8" t="str">
        <f aca="false">IF(I294="High","Positive",IF(I294="Medium","Neutral","Negative"))</f>
        <v>Positive</v>
      </c>
      <c r="T294" s="8" t="str">
        <f aca="false">IF(AND(E294&gt;=80000,H294&gt;=15),"Premium",IF(AND(E294&gt;=50000,H294&gt;=10),"Standard","Basic"))</f>
        <v>Standard</v>
      </c>
      <c r="U294" s="8" t="str">
        <f aca="false">IF(AND(F294&gt;=7,G294&gt;=7),"High Quality Experience","Review Needed")</f>
        <v>High Quality Experience</v>
      </c>
      <c r="V294" s="8" t="str">
        <f aca="false">IF(H294&gt;=10,"Repeat Buyer","Occasional Buyer")</f>
        <v>Repeat Buyer</v>
      </c>
      <c r="W294" s="8" t="str">
        <f aca="false">IF(AND(K294&lt;70,I294="Low"),"At Risk","Stable")</f>
        <v>Stable</v>
      </c>
      <c r="X294" s="8" t="str">
        <f aca="false">IF(AND(K294&lt;75,I294="Low",J294="Bronze"),"Priority Followup","No Action")</f>
        <v>No Action</v>
      </c>
    </row>
    <row r="295" customFormat="false" ht="15" hidden="false" customHeight="false" outlineLevel="0" collapsed="false">
      <c r="A295" s="3" t="n">
        <v>293</v>
      </c>
      <c r="B295" s="3" t="n">
        <v>69</v>
      </c>
      <c r="C295" s="3" t="s">
        <v>11</v>
      </c>
      <c r="D295" s="3" t="s">
        <v>23</v>
      </c>
      <c r="E295" s="3" t="n">
        <v>114296</v>
      </c>
      <c r="F295" s="3" t="n">
        <v>7</v>
      </c>
      <c r="G295" s="3" t="n">
        <v>1</v>
      </c>
      <c r="H295" s="3" t="n">
        <v>14</v>
      </c>
      <c r="I295" s="3" t="s">
        <v>13</v>
      </c>
      <c r="J295" s="3" t="s">
        <v>19</v>
      </c>
      <c r="K295" s="3" t="n">
        <v>81.6</v>
      </c>
      <c r="L295" s="7" t="str">
        <f aca="false">IF(B295&lt;25,"Gen Z",IF(B295&lt;40,"Millennial",IF(B295&lt;55,"Gen X","Baby Boomer")))</f>
        <v>Baby Boomer</v>
      </c>
      <c r="M295" s="7" t="str">
        <f aca="false">IF(E295&lt;50000,"Low Income",IF(E295&lt;80000,"Middle Income",IF(E295&lt;100000,"Upper Middle","High Income")))</f>
        <v>High Income</v>
      </c>
      <c r="N295" s="7" t="str">
        <f aca="false">IF(F295&lt;=3,"Poor",IF(F295&lt;=6,"Average",IF(F295&lt;=8,"Good","Excellent")))</f>
        <v>Good</v>
      </c>
      <c r="O295" s="7" t="str">
        <f aca="false">IF(G295&lt;=3,"Poor",IF(G295&lt;=6,"Average",IF(G295&lt;=8,"Good","Excellent")))</f>
        <v>Poor</v>
      </c>
      <c r="P295" s="7" t="str">
        <f aca="false">IF(H295&lt;=5,"Low Frequency",IF(H295&lt;=10,"Moderate",IF(H295&lt;=15,"High","Very High")))</f>
        <v>High</v>
      </c>
      <c r="Q295" s="7" t="str">
        <f aca="false">IF(K295&gt;=90,"Highly Satisfied",IF(K295&gt;=75,"Satisfied",IF(K295&gt;=60,"Neutral","Dissatisfied")))</f>
        <v>Satisfied</v>
      </c>
      <c r="R295" s="7" t="str">
        <f aca="false">UPPER(LEFT(TRIM(J295),1))&amp;LOWER(MID(TRIM(J295),2,100))</f>
        <v>Silver</v>
      </c>
      <c r="S295" s="7" t="str">
        <f aca="false">IF(I295="High","Positive",IF(I295="Medium","Neutral","Negative"))</f>
        <v>Negative</v>
      </c>
      <c r="T295" s="7" t="str">
        <f aca="false">IF(AND(E295&gt;=80000,H295&gt;=15),"Premium",IF(AND(E295&gt;=50000,H295&gt;=10),"Standard","Basic"))</f>
        <v>Standard</v>
      </c>
      <c r="U295" s="7" t="str">
        <f aca="false">IF(AND(F295&gt;=7,G295&gt;=7),"High Quality Experience","Review Needed")</f>
        <v>Review Needed</v>
      </c>
      <c r="V295" s="7" t="str">
        <f aca="false">IF(H295&gt;=10,"Repeat Buyer","Occasional Buyer")</f>
        <v>Repeat Buyer</v>
      </c>
      <c r="W295" s="7" t="str">
        <f aca="false">IF(AND(K295&lt;70,I295="Low"),"At Risk","Stable")</f>
        <v>Stable</v>
      </c>
      <c r="X295" s="7" t="str">
        <f aca="false">IF(AND(K295&lt;75,I295="Low",J295="Bronze"),"Priority Followup","No Action")</f>
        <v>No Action</v>
      </c>
    </row>
    <row r="296" customFormat="false" ht="15" hidden="false" customHeight="false" outlineLevel="0" collapsed="false">
      <c r="A296" s="2" t="n">
        <v>294</v>
      </c>
      <c r="B296" s="2" t="n">
        <v>66</v>
      </c>
      <c r="C296" s="2" t="s">
        <v>11</v>
      </c>
      <c r="D296" s="2" t="s">
        <v>12</v>
      </c>
      <c r="E296" s="2" t="n">
        <v>93854</v>
      </c>
      <c r="F296" s="2" t="n">
        <v>4</v>
      </c>
      <c r="G296" s="2" t="n">
        <v>9</v>
      </c>
      <c r="H296" s="2" t="n">
        <v>17</v>
      </c>
      <c r="I296" s="2" t="s">
        <v>13</v>
      </c>
      <c r="J296" s="2" t="s">
        <v>14</v>
      </c>
      <c r="K296" s="2" t="n">
        <v>100</v>
      </c>
      <c r="L296" s="8" t="str">
        <f aca="false">IF(B296&lt;25,"Gen Z",IF(B296&lt;40,"Millennial",IF(B296&lt;55,"Gen X","Baby Boomer")))</f>
        <v>Baby Boomer</v>
      </c>
      <c r="M296" s="8" t="str">
        <f aca="false">IF(E296&lt;50000,"Low Income",IF(E296&lt;80000,"Middle Income",IF(E296&lt;100000,"Upper Middle","High Income")))</f>
        <v>Upper Middle</v>
      </c>
      <c r="N296" s="8" t="str">
        <f aca="false">IF(F296&lt;=3,"Poor",IF(F296&lt;=6,"Average",IF(F296&lt;=8,"Good","Excellent")))</f>
        <v>Average</v>
      </c>
      <c r="O296" s="8" t="str">
        <f aca="false">IF(G296&lt;=3,"Poor",IF(G296&lt;=6,"Average",IF(G296&lt;=8,"Good","Excellent")))</f>
        <v>Excellent</v>
      </c>
      <c r="P296" s="8" t="str">
        <f aca="false">IF(H296&lt;=5,"Low Frequency",IF(H296&lt;=10,"Moderate",IF(H296&lt;=15,"High","Very High")))</f>
        <v>Very High</v>
      </c>
      <c r="Q296" s="8" t="str">
        <f aca="false">IF(K296&gt;=90,"Highly Satisfied",IF(K296&gt;=75,"Satisfied",IF(K296&gt;=60,"Neutral","Dissatisfied")))</f>
        <v>Highly Satisfied</v>
      </c>
      <c r="R296" s="8" t="str">
        <f aca="false">UPPER(LEFT(TRIM(J296),1))&amp;LOWER(MID(TRIM(J296),2,100))</f>
        <v>Bronze</v>
      </c>
      <c r="S296" s="8" t="str">
        <f aca="false">IF(I296="High","Positive",IF(I296="Medium","Neutral","Negative"))</f>
        <v>Negative</v>
      </c>
      <c r="T296" s="8" t="str">
        <f aca="false">IF(AND(E296&gt;=80000,H296&gt;=15),"Premium",IF(AND(E296&gt;=50000,H296&gt;=10),"Standard","Basic"))</f>
        <v>Premium</v>
      </c>
      <c r="U296" s="8" t="str">
        <f aca="false">IF(AND(F296&gt;=7,G296&gt;=7),"High Quality Experience","Review Needed")</f>
        <v>Review Needed</v>
      </c>
      <c r="V296" s="8" t="str">
        <f aca="false">IF(H296&gt;=10,"Repeat Buyer","Occasional Buyer")</f>
        <v>Repeat Buyer</v>
      </c>
      <c r="W296" s="8" t="str">
        <f aca="false">IF(AND(K296&lt;70,I296="Low"),"At Risk","Stable")</f>
        <v>Stable</v>
      </c>
      <c r="X296" s="8" t="str">
        <f aca="false">IF(AND(K296&lt;75,I296="Low",J296="Bronze"),"Priority Followup","No Action")</f>
        <v>No Action</v>
      </c>
    </row>
    <row r="297" customFormat="false" ht="15" hidden="false" customHeight="false" outlineLevel="0" collapsed="false">
      <c r="A297" s="3" t="n">
        <v>295</v>
      </c>
      <c r="B297" s="3" t="n">
        <v>19</v>
      </c>
      <c r="C297" s="3" t="s">
        <v>11</v>
      </c>
      <c r="D297" s="3" t="s">
        <v>12</v>
      </c>
      <c r="E297" s="3" t="n">
        <v>115623</v>
      </c>
      <c r="F297" s="3" t="n">
        <v>4</v>
      </c>
      <c r="G297" s="3" t="n">
        <v>2</v>
      </c>
      <c r="H297" s="3" t="n">
        <v>9</v>
      </c>
      <c r="I297" s="3" t="s">
        <v>21</v>
      </c>
      <c r="J297" s="3" t="s">
        <v>19</v>
      </c>
      <c r="K297" s="3" t="n">
        <v>62.21</v>
      </c>
      <c r="L297" s="7" t="str">
        <f aca="false">IF(B297&lt;25,"Gen Z",IF(B297&lt;40,"Millennial",IF(B297&lt;55,"Gen X","Baby Boomer")))</f>
        <v>Gen Z</v>
      </c>
      <c r="M297" s="7" t="str">
        <f aca="false">IF(E297&lt;50000,"Low Income",IF(E297&lt;80000,"Middle Income",IF(E297&lt;100000,"Upper Middle","High Income")))</f>
        <v>High Income</v>
      </c>
      <c r="N297" s="7" t="str">
        <f aca="false">IF(F297&lt;=3,"Poor",IF(F297&lt;=6,"Average",IF(F297&lt;=8,"Good","Excellent")))</f>
        <v>Average</v>
      </c>
      <c r="O297" s="7" t="str">
        <f aca="false">IF(G297&lt;=3,"Poor",IF(G297&lt;=6,"Average",IF(G297&lt;=8,"Good","Excellent")))</f>
        <v>Poor</v>
      </c>
      <c r="P297" s="7" t="str">
        <f aca="false">IF(H297&lt;=5,"Low Frequency",IF(H297&lt;=10,"Moderate",IF(H297&lt;=15,"High","Very High")))</f>
        <v>Moderate</v>
      </c>
      <c r="Q297" s="7" t="str">
        <f aca="false">IF(K297&gt;=90,"Highly Satisfied",IF(K297&gt;=75,"Satisfied",IF(K297&gt;=60,"Neutral","Dissatisfied")))</f>
        <v>Neutral</v>
      </c>
      <c r="R297" s="7" t="str">
        <f aca="false">UPPER(LEFT(TRIM(J297),1))&amp;LOWER(MID(TRIM(J297),2,100))</f>
        <v>Silver</v>
      </c>
      <c r="S297" s="7" t="str">
        <f aca="false">IF(I297="High","Positive",IF(I297="Medium","Neutral","Negative"))</f>
        <v>Positive</v>
      </c>
      <c r="T297" s="7" t="str">
        <f aca="false">IF(AND(E297&gt;=80000,H297&gt;=15),"Premium",IF(AND(E297&gt;=50000,H297&gt;=10),"Standard","Basic"))</f>
        <v>Basic</v>
      </c>
      <c r="U297" s="7" t="str">
        <f aca="false">IF(AND(F297&gt;=7,G297&gt;=7),"High Quality Experience","Review Needed")</f>
        <v>Review Needed</v>
      </c>
      <c r="V297" s="7" t="str">
        <f aca="false">IF(H297&gt;=10,"Repeat Buyer","Occasional Buyer")</f>
        <v>Occasional Buyer</v>
      </c>
      <c r="W297" s="7" t="str">
        <f aca="false">IF(AND(K297&lt;70,I297="Low"),"At Risk","Stable")</f>
        <v>Stable</v>
      </c>
      <c r="X297" s="7" t="str">
        <f aca="false">IF(AND(K297&lt;75,I297="Low",J297="Bronze"),"Priority Followup","No Action")</f>
        <v>No Action</v>
      </c>
    </row>
    <row r="298" customFormat="false" ht="15" hidden="false" customHeight="false" outlineLevel="0" collapsed="false">
      <c r="A298" s="2" t="n">
        <v>296</v>
      </c>
      <c r="B298" s="2" t="n">
        <v>18</v>
      </c>
      <c r="C298" s="2" t="s">
        <v>11</v>
      </c>
      <c r="D298" s="2" t="s">
        <v>12</v>
      </c>
      <c r="E298" s="2" t="n">
        <v>113122</v>
      </c>
      <c r="F298" s="2" t="n">
        <v>6</v>
      </c>
      <c r="G298" s="2" t="n">
        <v>10</v>
      </c>
      <c r="H298" s="2" t="n">
        <v>15</v>
      </c>
      <c r="I298" s="2" t="s">
        <v>15</v>
      </c>
      <c r="J298" s="2" t="s">
        <v>19</v>
      </c>
      <c r="K298" s="2" t="n">
        <v>100</v>
      </c>
      <c r="L298" s="8" t="str">
        <f aca="false">IF(B298&lt;25,"Gen Z",IF(B298&lt;40,"Millennial",IF(B298&lt;55,"Gen X","Baby Boomer")))</f>
        <v>Gen Z</v>
      </c>
      <c r="M298" s="8" t="str">
        <f aca="false">IF(E298&lt;50000,"Low Income",IF(E298&lt;80000,"Middle Income",IF(E298&lt;100000,"Upper Middle","High Income")))</f>
        <v>High Income</v>
      </c>
      <c r="N298" s="8" t="str">
        <f aca="false">IF(F298&lt;=3,"Poor",IF(F298&lt;=6,"Average",IF(F298&lt;=8,"Good","Excellent")))</f>
        <v>Average</v>
      </c>
      <c r="O298" s="8" t="str">
        <f aca="false">IF(G298&lt;=3,"Poor",IF(G298&lt;=6,"Average",IF(G298&lt;=8,"Good","Excellent")))</f>
        <v>Excellent</v>
      </c>
      <c r="P298" s="8" t="str">
        <f aca="false">IF(H298&lt;=5,"Low Frequency",IF(H298&lt;=10,"Moderate",IF(H298&lt;=15,"High","Very High")))</f>
        <v>High</v>
      </c>
      <c r="Q298" s="8" t="str">
        <f aca="false">IF(K298&gt;=90,"Highly Satisfied",IF(K298&gt;=75,"Satisfied",IF(K298&gt;=60,"Neutral","Dissatisfied")))</f>
        <v>Highly Satisfied</v>
      </c>
      <c r="R298" s="8" t="str">
        <f aca="false">UPPER(LEFT(TRIM(J298),1))&amp;LOWER(MID(TRIM(J298),2,100))</f>
        <v>Silver</v>
      </c>
      <c r="S298" s="8" t="str">
        <f aca="false">IF(I298="High","Positive",IF(I298="Medium","Neutral","Negative"))</f>
        <v>Neutral</v>
      </c>
      <c r="T298" s="8" t="str">
        <f aca="false">IF(AND(E298&gt;=80000,H298&gt;=15),"Premium",IF(AND(E298&gt;=50000,H298&gt;=10),"Standard","Basic"))</f>
        <v>Premium</v>
      </c>
      <c r="U298" s="8" t="str">
        <f aca="false">IF(AND(F298&gt;=7,G298&gt;=7),"High Quality Experience","Review Needed")</f>
        <v>Review Needed</v>
      </c>
      <c r="V298" s="8" t="str">
        <f aca="false">IF(H298&gt;=10,"Repeat Buyer","Occasional Buyer")</f>
        <v>Repeat Buyer</v>
      </c>
      <c r="W298" s="8" t="str">
        <f aca="false">IF(AND(K298&lt;70,I298="Low"),"At Risk","Stable")</f>
        <v>Stable</v>
      </c>
      <c r="X298" s="8" t="str">
        <f aca="false">IF(AND(K298&lt;75,I298="Low",J298="Bronze"),"Priority Followup","No Action")</f>
        <v>No Action</v>
      </c>
    </row>
    <row r="299" customFormat="false" ht="15" hidden="false" customHeight="false" outlineLevel="0" collapsed="false">
      <c r="A299" s="3" t="n">
        <v>297</v>
      </c>
      <c r="B299" s="3" t="n">
        <v>65</v>
      </c>
      <c r="C299" s="3" t="s">
        <v>17</v>
      </c>
      <c r="D299" s="3" t="s">
        <v>12</v>
      </c>
      <c r="E299" s="3" t="n">
        <v>109998</v>
      </c>
      <c r="F299" s="3" t="n">
        <v>10</v>
      </c>
      <c r="G299" s="3" t="n">
        <v>2</v>
      </c>
      <c r="H299" s="3" t="n">
        <v>19</v>
      </c>
      <c r="I299" s="3" t="s">
        <v>21</v>
      </c>
      <c r="J299" s="3" t="s">
        <v>19</v>
      </c>
      <c r="K299" s="3" t="n">
        <v>100</v>
      </c>
      <c r="L299" s="7" t="str">
        <f aca="false">IF(B299&lt;25,"Gen Z",IF(B299&lt;40,"Millennial",IF(B299&lt;55,"Gen X","Baby Boomer")))</f>
        <v>Baby Boomer</v>
      </c>
      <c r="M299" s="7" t="str">
        <f aca="false">IF(E299&lt;50000,"Low Income",IF(E299&lt;80000,"Middle Income",IF(E299&lt;100000,"Upper Middle","High Income")))</f>
        <v>High Income</v>
      </c>
      <c r="N299" s="7" t="str">
        <f aca="false">IF(F299&lt;=3,"Poor",IF(F299&lt;=6,"Average",IF(F299&lt;=8,"Good","Excellent")))</f>
        <v>Excellent</v>
      </c>
      <c r="O299" s="7" t="str">
        <f aca="false">IF(G299&lt;=3,"Poor",IF(G299&lt;=6,"Average",IF(G299&lt;=8,"Good","Excellent")))</f>
        <v>Poor</v>
      </c>
      <c r="P299" s="7" t="str">
        <f aca="false">IF(H299&lt;=5,"Low Frequency",IF(H299&lt;=10,"Moderate",IF(H299&lt;=15,"High","Very High")))</f>
        <v>Very High</v>
      </c>
      <c r="Q299" s="7" t="str">
        <f aca="false">IF(K299&gt;=90,"Highly Satisfied",IF(K299&gt;=75,"Satisfied",IF(K299&gt;=60,"Neutral","Dissatisfied")))</f>
        <v>Highly Satisfied</v>
      </c>
      <c r="R299" s="7" t="str">
        <f aca="false">UPPER(LEFT(TRIM(J299),1))&amp;LOWER(MID(TRIM(J299),2,100))</f>
        <v>Silver</v>
      </c>
      <c r="S299" s="7" t="str">
        <f aca="false">IF(I299="High","Positive",IF(I299="Medium","Neutral","Negative"))</f>
        <v>Positive</v>
      </c>
      <c r="T299" s="7" t="str">
        <f aca="false">IF(AND(E299&gt;=80000,H299&gt;=15),"Premium",IF(AND(E299&gt;=50000,H299&gt;=10),"Standard","Basic"))</f>
        <v>Premium</v>
      </c>
      <c r="U299" s="7" t="str">
        <f aca="false">IF(AND(F299&gt;=7,G299&gt;=7),"High Quality Experience","Review Needed")</f>
        <v>Review Needed</v>
      </c>
      <c r="V299" s="7" t="str">
        <f aca="false">IF(H299&gt;=10,"Repeat Buyer","Occasional Buyer")</f>
        <v>Repeat Buyer</v>
      </c>
      <c r="W299" s="7" t="str">
        <f aca="false">IF(AND(K299&lt;70,I299="Low"),"At Risk","Stable")</f>
        <v>Stable</v>
      </c>
      <c r="X299" s="7" t="str">
        <f aca="false">IF(AND(K299&lt;75,I299="Low",J299="Bronze"),"Priority Followup","No Action")</f>
        <v>No Action</v>
      </c>
    </row>
    <row r="300" customFormat="false" ht="15" hidden="false" customHeight="false" outlineLevel="0" collapsed="false">
      <c r="A300" s="2" t="n">
        <v>298</v>
      </c>
      <c r="B300" s="2" t="n">
        <v>29</v>
      </c>
      <c r="C300" s="2" t="s">
        <v>17</v>
      </c>
      <c r="D300" s="2" t="s">
        <v>18</v>
      </c>
      <c r="E300" s="2" t="n">
        <v>107967</v>
      </c>
      <c r="F300" s="2" t="n">
        <v>5</v>
      </c>
      <c r="G300" s="2" t="n">
        <v>9</v>
      </c>
      <c r="H300" s="2" t="n">
        <v>3</v>
      </c>
      <c r="I300" s="2" t="s">
        <v>21</v>
      </c>
      <c r="J300" s="2" t="s">
        <v>14</v>
      </c>
      <c r="K300" s="2" t="n">
        <v>99.27</v>
      </c>
      <c r="L300" s="8" t="str">
        <f aca="false">IF(B300&lt;25,"Gen Z",IF(B300&lt;40,"Millennial",IF(B300&lt;55,"Gen X","Baby Boomer")))</f>
        <v>Millennial</v>
      </c>
      <c r="M300" s="8" t="str">
        <f aca="false">IF(E300&lt;50000,"Low Income",IF(E300&lt;80000,"Middle Income",IF(E300&lt;100000,"Upper Middle","High Income")))</f>
        <v>High Income</v>
      </c>
      <c r="N300" s="8" t="str">
        <f aca="false">IF(F300&lt;=3,"Poor",IF(F300&lt;=6,"Average",IF(F300&lt;=8,"Good","Excellent")))</f>
        <v>Average</v>
      </c>
      <c r="O300" s="8" t="str">
        <f aca="false">IF(G300&lt;=3,"Poor",IF(G300&lt;=6,"Average",IF(G300&lt;=8,"Good","Excellent")))</f>
        <v>Excellent</v>
      </c>
      <c r="P300" s="8" t="str">
        <f aca="false">IF(H300&lt;=5,"Low Frequency",IF(H300&lt;=10,"Moderate",IF(H300&lt;=15,"High","Very High")))</f>
        <v>Low Frequency</v>
      </c>
      <c r="Q300" s="8" t="str">
        <f aca="false">IF(K300&gt;=90,"Highly Satisfied",IF(K300&gt;=75,"Satisfied",IF(K300&gt;=60,"Neutral","Dissatisfied")))</f>
        <v>Highly Satisfied</v>
      </c>
      <c r="R300" s="8" t="str">
        <f aca="false">UPPER(LEFT(TRIM(J300),1))&amp;LOWER(MID(TRIM(J300),2,100))</f>
        <v>Bronze</v>
      </c>
      <c r="S300" s="8" t="str">
        <f aca="false">IF(I300="High","Positive",IF(I300="Medium","Neutral","Negative"))</f>
        <v>Positive</v>
      </c>
      <c r="T300" s="8" t="str">
        <f aca="false">IF(AND(E300&gt;=80000,H300&gt;=15),"Premium",IF(AND(E300&gt;=50000,H300&gt;=10),"Standard","Basic"))</f>
        <v>Basic</v>
      </c>
      <c r="U300" s="8" t="str">
        <f aca="false">IF(AND(F300&gt;=7,G300&gt;=7),"High Quality Experience","Review Needed")</f>
        <v>Review Needed</v>
      </c>
      <c r="V300" s="8" t="str">
        <f aca="false">IF(H300&gt;=10,"Repeat Buyer","Occasional Buyer")</f>
        <v>Occasional Buyer</v>
      </c>
      <c r="W300" s="8" t="str">
        <f aca="false">IF(AND(K300&lt;70,I300="Low"),"At Risk","Stable")</f>
        <v>Stable</v>
      </c>
      <c r="X300" s="8" t="str">
        <f aca="false">IF(AND(K300&lt;75,I300="Low",J300="Bronze"),"Priority Followup","No Action")</f>
        <v>No Action</v>
      </c>
    </row>
    <row r="301" customFormat="false" ht="15" hidden="false" customHeight="false" outlineLevel="0" collapsed="false">
      <c r="A301" s="3" t="n">
        <v>299</v>
      </c>
      <c r="B301" s="3" t="n">
        <v>22</v>
      </c>
      <c r="C301" s="3" t="s">
        <v>11</v>
      </c>
      <c r="D301" s="3" t="s">
        <v>23</v>
      </c>
      <c r="E301" s="3" t="n">
        <v>103920</v>
      </c>
      <c r="F301" s="3" t="n">
        <v>9</v>
      </c>
      <c r="G301" s="3" t="n">
        <v>2</v>
      </c>
      <c r="H301" s="3" t="n">
        <v>12</v>
      </c>
      <c r="I301" s="3" t="s">
        <v>13</v>
      </c>
      <c r="J301" s="3" t="s">
        <v>19</v>
      </c>
      <c r="K301" s="3" t="n">
        <v>71.22</v>
      </c>
      <c r="L301" s="7" t="str">
        <f aca="false">IF(B301&lt;25,"Gen Z",IF(B301&lt;40,"Millennial",IF(B301&lt;55,"Gen X","Baby Boomer")))</f>
        <v>Gen Z</v>
      </c>
      <c r="M301" s="7" t="str">
        <f aca="false">IF(E301&lt;50000,"Low Income",IF(E301&lt;80000,"Middle Income",IF(E301&lt;100000,"Upper Middle","High Income")))</f>
        <v>High Income</v>
      </c>
      <c r="N301" s="7" t="str">
        <f aca="false">IF(F301&lt;=3,"Poor",IF(F301&lt;=6,"Average",IF(F301&lt;=8,"Good","Excellent")))</f>
        <v>Excellent</v>
      </c>
      <c r="O301" s="7" t="str">
        <f aca="false">IF(G301&lt;=3,"Poor",IF(G301&lt;=6,"Average",IF(G301&lt;=8,"Good","Excellent")))</f>
        <v>Poor</v>
      </c>
      <c r="P301" s="7" t="str">
        <f aca="false">IF(H301&lt;=5,"Low Frequency",IF(H301&lt;=10,"Moderate",IF(H301&lt;=15,"High","Very High")))</f>
        <v>High</v>
      </c>
      <c r="Q301" s="7" t="str">
        <f aca="false">IF(K301&gt;=90,"Highly Satisfied",IF(K301&gt;=75,"Satisfied",IF(K301&gt;=60,"Neutral","Dissatisfied")))</f>
        <v>Neutral</v>
      </c>
      <c r="R301" s="7" t="str">
        <f aca="false">UPPER(LEFT(TRIM(J301),1))&amp;LOWER(MID(TRIM(J301),2,100))</f>
        <v>Silver</v>
      </c>
      <c r="S301" s="7" t="str">
        <f aca="false">IF(I301="High","Positive",IF(I301="Medium","Neutral","Negative"))</f>
        <v>Negative</v>
      </c>
      <c r="T301" s="7" t="str">
        <f aca="false">IF(AND(E301&gt;=80000,H301&gt;=15),"Premium",IF(AND(E301&gt;=50000,H301&gt;=10),"Standard","Basic"))</f>
        <v>Standard</v>
      </c>
      <c r="U301" s="7" t="str">
        <f aca="false">IF(AND(F301&gt;=7,G301&gt;=7),"High Quality Experience","Review Needed")</f>
        <v>Review Needed</v>
      </c>
      <c r="V301" s="7" t="str">
        <f aca="false">IF(H301&gt;=10,"Repeat Buyer","Occasional Buyer")</f>
        <v>Repeat Buyer</v>
      </c>
      <c r="W301" s="7" t="str">
        <f aca="false">IF(AND(K301&lt;70,I301="Low"),"At Risk","Stable")</f>
        <v>Stable</v>
      </c>
      <c r="X301" s="7" t="str">
        <f aca="false">IF(AND(K301&lt;75,I301="Low",J301="Bronze"),"Priority Followup","No Action")</f>
        <v>No Action</v>
      </c>
    </row>
    <row r="302" customFormat="false" ht="15" hidden="false" customHeight="false" outlineLevel="0" collapsed="false">
      <c r="A302" s="2" t="n">
        <v>300</v>
      </c>
      <c r="B302" s="2" t="n">
        <v>54</v>
      </c>
      <c r="C302" s="2" t="s">
        <v>11</v>
      </c>
      <c r="D302" s="2" t="s">
        <v>22</v>
      </c>
      <c r="E302" s="2" t="n">
        <v>83716</v>
      </c>
      <c r="F302" s="2" t="n">
        <v>5</v>
      </c>
      <c r="G302" s="2" t="n">
        <v>7</v>
      </c>
      <c r="H302" s="2" t="n">
        <v>1</v>
      </c>
      <c r="I302" s="2" t="s">
        <v>13</v>
      </c>
      <c r="J302" s="2" t="s">
        <v>19</v>
      </c>
      <c r="K302" s="2" t="n">
        <v>98.54</v>
      </c>
      <c r="L302" s="8" t="str">
        <f aca="false">IF(B302&lt;25,"Gen Z",IF(B302&lt;40,"Millennial",IF(B302&lt;55,"Gen X","Baby Boomer")))</f>
        <v>Gen X</v>
      </c>
      <c r="M302" s="8" t="str">
        <f aca="false">IF(E302&lt;50000,"Low Income",IF(E302&lt;80000,"Middle Income",IF(E302&lt;100000,"Upper Middle","High Income")))</f>
        <v>Upper Middle</v>
      </c>
      <c r="N302" s="8" t="str">
        <f aca="false">IF(F302&lt;=3,"Poor",IF(F302&lt;=6,"Average",IF(F302&lt;=8,"Good","Excellent")))</f>
        <v>Average</v>
      </c>
      <c r="O302" s="8" t="str">
        <f aca="false">IF(G302&lt;=3,"Poor",IF(G302&lt;=6,"Average",IF(G302&lt;=8,"Good","Excellent")))</f>
        <v>Good</v>
      </c>
      <c r="P302" s="8" t="str">
        <f aca="false">IF(H302&lt;=5,"Low Frequency",IF(H302&lt;=10,"Moderate",IF(H302&lt;=15,"High","Very High")))</f>
        <v>Low Frequency</v>
      </c>
      <c r="Q302" s="8" t="str">
        <f aca="false">IF(K302&gt;=90,"Highly Satisfied",IF(K302&gt;=75,"Satisfied",IF(K302&gt;=60,"Neutral","Dissatisfied")))</f>
        <v>Highly Satisfied</v>
      </c>
      <c r="R302" s="8" t="str">
        <f aca="false">UPPER(LEFT(TRIM(J302),1))&amp;LOWER(MID(TRIM(J302),2,100))</f>
        <v>Silver</v>
      </c>
      <c r="S302" s="8" t="str">
        <f aca="false">IF(I302="High","Positive",IF(I302="Medium","Neutral","Negative"))</f>
        <v>Negative</v>
      </c>
      <c r="T302" s="8" t="str">
        <f aca="false">IF(AND(E302&gt;=80000,H302&gt;=15),"Premium",IF(AND(E302&gt;=50000,H302&gt;=10),"Standard","Basic"))</f>
        <v>Basic</v>
      </c>
      <c r="U302" s="8" t="str">
        <f aca="false">IF(AND(F302&gt;=7,G302&gt;=7),"High Quality Experience","Review Needed")</f>
        <v>Review Needed</v>
      </c>
      <c r="V302" s="8" t="str">
        <f aca="false">IF(H302&gt;=10,"Repeat Buyer","Occasional Buyer")</f>
        <v>Occasional Buyer</v>
      </c>
      <c r="W302" s="8" t="str">
        <f aca="false">IF(AND(K302&lt;70,I302="Low"),"At Risk","Stable")</f>
        <v>Stable</v>
      </c>
      <c r="X302" s="8" t="str">
        <f aca="false">IF(AND(K302&lt;75,I302="Low",J302="Bronze"),"Priority Followup","No Action")</f>
        <v>No Action</v>
      </c>
    </row>
    <row r="303" customFormat="false" ht="15" hidden="false" customHeight="false" outlineLevel="0" collapsed="false">
      <c r="A303" s="3" t="n">
        <v>301</v>
      </c>
      <c r="B303" s="3" t="n">
        <v>49</v>
      </c>
      <c r="C303" s="3" t="s">
        <v>11</v>
      </c>
      <c r="D303" s="3" t="s">
        <v>18</v>
      </c>
      <c r="E303" s="3" t="n">
        <v>31265</v>
      </c>
      <c r="F303" s="3" t="n">
        <v>6</v>
      </c>
      <c r="G303" s="3" t="n">
        <v>8</v>
      </c>
      <c r="H303" s="3" t="n">
        <v>14</v>
      </c>
      <c r="I303" s="3" t="s">
        <v>15</v>
      </c>
      <c r="J303" s="3" t="s">
        <v>14</v>
      </c>
      <c r="K303" s="3" t="n">
        <v>93.35</v>
      </c>
      <c r="L303" s="7" t="str">
        <f aca="false">IF(B303&lt;25,"Gen Z",IF(B303&lt;40,"Millennial",IF(B303&lt;55,"Gen X","Baby Boomer")))</f>
        <v>Gen X</v>
      </c>
      <c r="M303" s="7" t="str">
        <f aca="false">IF(E303&lt;50000,"Low Income",IF(E303&lt;80000,"Middle Income",IF(E303&lt;100000,"Upper Middle","High Income")))</f>
        <v>Low Income</v>
      </c>
      <c r="N303" s="7" t="str">
        <f aca="false">IF(F303&lt;=3,"Poor",IF(F303&lt;=6,"Average",IF(F303&lt;=8,"Good","Excellent")))</f>
        <v>Average</v>
      </c>
      <c r="O303" s="7" t="str">
        <f aca="false">IF(G303&lt;=3,"Poor",IF(G303&lt;=6,"Average",IF(G303&lt;=8,"Good","Excellent")))</f>
        <v>Good</v>
      </c>
      <c r="P303" s="7" t="str">
        <f aca="false">IF(H303&lt;=5,"Low Frequency",IF(H303&lt;=10,"Moderate",IF(H303&lt;=15,"High","Very High")))</f>
        <v>High</v>
      </c>
      <c r="Q303" s="7" t="str">
        <f aca="false">IF(K303&gt;=90,"Highly Satisfied",IF(K303&gt;=75,"Satisfied",IF(K303&gt;=60,"Neutral","Dissatisfied")))</f>
        <v>Highly Satisfied</v>
      </c>
      <c r="R303" s="7" t="str">
        <f aca="false">UPPER(LEFT(TRIM(J303),1))&amp;LOWER(MID(TRIM(J303),2,100))</f>
        <v>Bronze</v>
      </c>
      <c r="S303" s="7" t="str">
        <f aca="false">IF(I303="High","Positive",IF(I303="Medium","Neutral","Negative"))</f>
        <v>Neutral</v>
      </c>
      <c r="T303" s="7" t="str">
        <f aca="false">IF(AND(E303&gt;=80000,H303&gt;=15),"Premium",IF(AND(E303&gt;=50000,H303&gt;=10),"Standard","Basic"))</f>
        <v>Basic</v>
      </c>
      <c r="U303" s="7" t="str">
        <f aca="false">IF(AND(F303&gt;=7,G303&gt;=7),"High Quality Experience","Review Needed")</f>
        <v>Review Needed</v>
      </c>
      <c r="V303" s="7" t="str">
        <f aca="false">IF(H303&gt;=10,"Repeat Buyer","Occasional Buyer")</f>
        <v>Repeat Buyer</v>
      </c>
      <c r="W303" s="7" t="str">
        <f aca="false">IF(AND(K303&lt;70,I303="Low"),"At Risk","Stable")</f>
        <v>Stable</v>
      </c>
      <c r="X303" s="7" t="str">
        <f aca="false">IF(AND(K303&lt;75,I303="Low",J303="Bronze"),"Priority Followup","No Action")</f>
        <v>No Action</v>
      </c>
    </row>
    <row r="304" customFormat="false" ht="15" hidden="false" customHeight="false" outlineLevel="0" collapsed="false">
      <c r="A304" s="2" t="n">
        <v>302</v>
      </c>
      <c r="B304" s="2" t="n">
        <v>26</v>
      </c>
      <c r="C304" s="2" t="s">
        <v>11</v>
      </c>
      <c r="D304" s="2" t="s">
        <v>12</v>
      </c>
      <c r="E304" s="2" t="n">
        <v>84692</v>
      </c>
      <c r="F304" s="2" t="n">
        <v>8</v>
      </c>
      <c r="G304" s="2" t="n">
        <v>1</v>
      </c>
      <c r="H304" s="2" t="n">
        <v>14</v>
      </c>
      <c r="I304" s="2" t="s">
        <v>15</v>
      </c>
      <c r="J304" s="2" t="s">
        <v>14</v>
      </c>
      <c r="K304" s="2" t="n">
        <v>79.42</v>
      </c>
      <c r="L304" s="8" t="str">
        <f aca="false">IF(B304&lt;25,"Gen Z",IF(B304&lt;40,"Millennial",IF(B304&lt;55,"Gen X","Baby Boomer")))</f>
        <v>Millennial</v>
      </c>
      <c r="M304" s="8" t="str">
        <f aca="false">IF(E304&lt;50000,"Low Income",IF(E304&lt;80000,"Middle Income",IF(E304&lt;100000,"Upper Middle","High Income")))</f>
        <v>Upper Middle</v>
      </c>
      <c r="N304" s="8" t="str">
        <f aca="false">IF(F304&lt;=3,"Poor",IF(F304&lt;=6,"Average",IF(F304&lt;=8,"Good","Excellent")))</f>
        <v>Good</v>
      </c>
      <c r="O304" s="8" t="str">
        <f aca="false">IF(G304&lt;=3,"Poor",IF(G304&lt;=6,"Average",IF(G304&lt;=8,"Good","Excellent")))</f>
        <v>Poor</v>
      </c>
      <c r="P304" s="8" t="str">
        <f aca="false">IF(H304&lt;=5,"Low Frequency",IF(H304&lt;=10,"Moderate",IF(H304&lt;=15,"High","Very High")))</f>
        <v>High</v>
      </c>
      <c r="Q304" s="8" t="str">
        <f aca="false">IF(K304&gt;=90,"Highly Satisfied",IF(K304&gt;=75,"Satisfied",IF(K304&gt;=60,"Neutral","Dissatisfied")))</f>
        <v>Satisfied</v>
      </c>
      <c r="R304" s="8" t="str">
        <f aca="false">UPPER(LEFT(TRIM(J304),1))&amp;LOWER(MID(TRIM(J304),2,100))</f>
        <v>Bronze</v>
      </c>
      <c r="S304" s="8" t="str">
        <f aca="false">IF(I304="High","Positive",IF(I304="Medium","Neutral","Negative"))</f>
        <v>Neutral</v>
      </c>
      <c r="T304" s="8" t="str">
        <f aca="false">IF(AND(E304&gt;=80000,H304&gt;=15),"Premium",IF(AND(E304&gt;=50000,H304&gt;=10),"Standard","Basic"))</f>
        <v>Standard</v>
      </c>
      <c r="U304" s="8" t="str">
        <f aca="false">IF(AND(F304&gt;=7,G304&gt;=7),"High Quality Experience","Review Needed")</f>
        <v>Review Needed</v>
      </c>
      <c r="V304" s="8" t="str">
        <f aca="false">IF(H304&gt;=10,"Repeat Buyer","Occasional Buyer")</f>
        <v>Repeat Buyer</v>
      </c>
      <c r="W304" s="8" t="str">
        <f aca="false">IF(AND(K304&lt;70,I304="Low"),"At Risk","Stable")</f>
        <v>Stable</v>
      </c>
      <c r="X304" s="8" t="str">
        <f aca="false">IF(AND(K304&lt;75,I304="Low",J304="Bronze"),"Priority Followup","No Action")</f>
        <v>No Action</v>
      </c>
    </row>
    <row r="305" customFormat="false" ht="15" hidden="false" customHeight="false" outlineLevel="0" collapsed="false">
      <c r="A305" s="3" t="n">
        <v>303</v>
      </c>
      <c r="B305" s="3" t="n">
        <v>58</v>
      </c>
      <c r="C305" s="3" t="s">
        <v>11</v>
      </c>
      <c r="D305" s="3" t="s">
        <v>22</v>
      </c>
      <c r="E305" s="3" t="n">
        <v>100208</v>
      </c>
      <c r="F305" s="3" t="n">
        <v>10</v>
      </c>
      <c r="G305" s="3" t="n">
        <v>6</v>
      </c>
      <c r="H305" s="3" t="n">
        <v>6</v>
      </c>
      <c r="I305" s="3" t="s">
        <v>13</v>
      </c>
      <c r="J305" s="3" t="s">
        <v>14</v>
      </c>
      <c r="K305" s="3" t="n">
        <v>100</v>
      </c>
      <c r="L305" s="7" t="str">
        <f aca="false">IF(B305&lt;25,"Gen Z",IF(B305&lt;40,"Millennial",IF(B305&lt;55,"Gen X","Baby Boomer")))</f>
        <v>Baby Boomer</v>
      </c>
      <c r="M305" s="7" t="str">
        <f aca="false">IF(E305&lt;50000,"Low Income",IF(E305&lt;80000,"Middle Income",IF(E305&lt;100000,"Upper Middle","High Income")))</f>
        <v>High Income</v>
      </c>
      <c r="N305" s="7" t="str">
        <f aca="false">IF(F305&lt;=3,"Poor",IF(F305&lt;=6,"Average",IF(F305&lt;=8,"Good","Excellent")))</f>
        <v>Excellent</v>
      </c>
      <c r="O305" s="7" t="str">
        <f aca="false">IF(G305&lt;=3,"Poor",IF(G305&lt;=6,"Average",IF(G305&lt;=8,"Good","Excellent")))</f>
        <v>Average</v>
      </c>
      <c r="P305" s="7" t="str">
        <f aca="false">IF(H305&lt;=5,"Low Frequency",IF(H305&lt;=10,"Moderate",IF(H305&lt;=15,"High","Very High")))</f>
        <v>Moderate</v>
      </c>
      <c r="Q305" s="7" t="str">
        <f aca="false">IF(K305&gt;=90,"Highly Satisfied",IF(K305&gt;=75,"Satisfied",IF(K305&gt;=60,"Neutral","Dissatisfied")))</f>
        <v>Highly Satisfied</v>
      </c>
      <c r="R305" s="7" t="str">
        <f aca="false">UPPER(LEFT(TRIM(J305),1))&amp;LOWER(MID(TRIM(J305),2,100))</f>
        <v>Bronze</v>
      </c>
      <c r="S305" s="7" t="str">
        <f aca="false">IF(I305="High","Positive",IF(I305="Medium","Neutral","Negative"))</f>
        <v>Negative</v>
      </c>
      <c r="T305" s="7" t="str">
        <f aca="false">IF(AND(E305&gt;=80000,H305&gt;=15),"Premium",IF(AND(E305&gt;=50000,H305&gt;=10),"Standard","Basic"))</f>
        <v>Basic</v>
      </c>
      <c r="U305" s="7" t="str">
        <f aca="false">IF(AND(F305&gt;=7,G305&gt;=7),"High Quality Experience","Review Needed")</f>
        <v>Review Needed</v>
      </c>
      <c r="V305" s="7" t="str">
        <f aca="false">IF(H305&gt;=10,"Repeat Buyer","Occasional Buyer")</f>
        <v>Occasional Buyer</v>
      </c>
      <c r="W305" s="7" t="str">
        <f aca="false">IF(AND(K305&lt;70,I305="Low"),"At Risk","Stable")</f>
        <v>Stable</v>
      </c>
      <c r="X305" s="7" t="str">
        <f aca="false">IF(AND(K305&lt;75,I305="Low",J305="Bronze"),"Priority Followup","No Action")</f>
        <v>No Action</v>
      </c>
    </row>
    <row r="306" customFormat="false" ht="15" hidden="false" customHeight="false" outlineLevel="0" collapsed="false">
      <c r="A306" s="2" t="n">
        <v>304</v>
      </c>
      <c r="B306" s="2" t="n">
        <v>52</v>
      </c>
      <c r="C306" s="2" t="s">
        <v>11</v>
      </c>
      <c r="D306" s="2" t="s">
        <v>23</v>
      </c>
      <c r="E306" s="2" t="n">
        <v>67296</v>
      </c>
      <c r="F306" s="2" t="n">
        <v>4</v>
      </c>
      <c r="G306" s="2" t="n">
        <v>5</v>
      </c>
      <c r="H306" s="2" t="n">
        <v>2</v>
      </c>
      <c r="I306" s="2" t="s">
        <v>15</v>
      </c>
      <c r="J306" s="2" t="s">
        <v>19</v>
      </c>
      <c r="K306" s="2" t="n">
        <v>84.83</v>
      </c>
      <c r="L306" s="8" t="str">
        <f aca="false">IF(B306&lt;25,"Gen Z",IF(B306&lt;40,"Millennial",IF(B306&lt;55,"Gen X","Baby Boomer")))</f>
        <v>Gen X</v>
      </c>
      <c r="M306" s="8" t="str">
        <f aca="false">IF(E306&lt;50000,"Low Income",IF(E306&lt;80000,"Middle Income",IF(E306&lt;100000,"Upper Middle","High Income")))</f>
        <v>Middle Income</v>
      </c>
      <c r="N306" s="8" t="str">
        <f aca="false">IF(F306&lt;=3,"Poor",IF(F306&lt;=6,"Average",IF(F306&lt;=8,"Good","Excellent")))</f>
        <v>Average</v>
      </c>
      <c r="O306" s="8" t="str">
        <f aca="false">IF(G306&lt;=3,"Poor",IF(G306&lt;=6,"Average",IF(G306&lt;=8,"Good","Excellent")))</f>
        <v>Average</v>
      </c>
      <c r="P306" s="8" t="str">
        <f aca="false">IF(H306&lt;=5,"Low Frequency",IF(H306&lt;=10,"Moderate",IF(H306&lt;=15,"High","Very High")))</f>
        <v>Low Frequency</v>
      </c>
      <c r="Q306" s="8" t="str">
        <f aca="false">IF(K306&gt;=90,"Highly Satisfied",IF(K306&gt;=75,"Satisfied",IF(K306&gt;=60,"Neutral","Dissatisfied")))</f>
        <v>Satisfied</v>
      </c>
      <c r="R306" s="8" t="str">
        <f aca="false">UPPER(LEFT(TRIM(J306),1))&amp;LOWER(MID(TRIM(J306),2,100))</f>
        <v>Silver</v>
      </c>
      <c r="S306" s="8" t="str">
        <f aca="false">IF(I306="High","Positive",IF(I306="Medium","Neutral","Negative"))</f>
        <v>Neutral</v>
      </c>
      <c r="T306" s="8" t="str">
        <f aca="false">IF(AND(E306&gt;=80000,H306&gt;=15),"Premium",IF(AND(E306&gt;=50000,H306&gt;=10),"Standard","Basic"))</f>
        <v>Basic</v>
      </c>
      <c r="U306" s="8" t="str">
        <f aca="false">IF(AND(F306&gt;=7,G306&gt;=7),"High Quality Experience","Review Needed")</f>
        <v>Review Needed</v>
      </c>
      <c r="V306" s="8" t="str">
        <f aca="false">IF(H306&gt;=10,"Repeat Buyer","Occasional Buyer")</f>
        <v>Occasional Buyer</v>
      </c>
      <c r="W306" s="8" t="str">
        <f aca="false">IF(AND(K306&lt;70,I306="Low"),"At Risk","Stable")</f>
        <v>Stable</v>
      </c>
      <c r="X306" s="8" t="str">
        <f aca="false">IF(AND(K306&lt;75,I306="Low",J306="Bronze"),"Priority Followup","No Action")</f>
        <v>No Action</v>
      </c>
    </row>
    <row r="307" customFormat="false" ht="15" hidden="false" customHeight="false" outlineLevel="0" collapsed="false">
      <c r="A307" s="3" t="n">
        <v>305</v>
      </c>
      <c r="B307" s="3" t="n">
        <v>36</v>
      </c>
      <c r="C307" s="3" t="s">
        <v>17</v>
      </c>
      <c r="D307" s="3" t="s">
        <v>12</v>
      </c>
      <c r="E307" s="3" t="n">
        <v>40286</v>
      </c>
      <c r="F307" s="3" t="n">
        <v>10</v>
      </c>
      <c r="G307" s="3" t="n">
        <v>7</v>
      </c>
      <c r="H307" s="3" t="n">
        <v>10</v>
      </c>
      <c r="I307" s="3" t="s">
        <v>13</v>
      </c>
      <c r="J307" s="3" t="s">
        <v>16</v>
      </c>
      <c r="K307" s="3" t="n">
        <v>97.61</v>
      </c>
      <c r="L307" s="7" t="str">
        <f aca="false">IF(B307&lt;25,"Gen Z",IF(B307&lt;40,"Millennial",IF(B307&lt;55,"Gen X","Baby Boomer")))</f>
        <v>Millennial</v>
      </c>
      <c r="M307" s="7" t="str">
        <f aca="false">IF(E307&lt;50000,"Low Income",IF(E307&lt;80000,"Middle Income",IF(E307&lt;100000,"Upper Middle","High Income")))</f>
        <v>Low Income</v>
      </c>
      <c r="N307" s="7" t="str">
        <f aca="false">IF(F307&lt;=3,"Poor",IF(F307&lt;=6,"Average",IF(F307&lt;=8,"Good","Excellent")))</f>
        <v>Excellent</v>
      </c>
      <c r="O307" s="7" t="str">
        <f aca="false">IF(G307&lt;=3,"Poor",IF(G307&lt;=6,"Average",IF(G307&lt;=8,"Good","Excellent")))</f>
        <v>Good</v>
      </c>
      <c r="P307" s="7" t="str">
        <f aca="false">IF(H307&lt;=5,"Low Frequency",IF(H307&lt;=10,"Moderate",IF(H307&lt;=15,"High","Very High")))</f>
        <v>Moderate</v>
      </c>
      <c r="Q307" s="7" t="str">
        <f aca="false">IF(K307&gt;=90,"Highly Satisfied",IF(K307&gt;=75,"Satisfied",IF(K307&gt;=60,"Neutral","Dissatisfied")))</f>
        <v>Highly Satisfied</v>
      </c>
      <c r="R307" s="7" t="str">
        <f aca="false">UPPER(LEFT(TRIM(J307),1))&amp;LOWER(MID(TRIM(J307),2,100))</f>
        <v>Gold</v>
      </c>
      <c r="S307" s="7" t="str">
        <f aca="false">IF(I307="High","Positive",IF(I307="Medium","Neutral","Negative"))</f>
        <v>Negative</v>
      </c>
      <c r="T307" s="7" t="str">
        <f aca="false">IF(AND(E307&gt;=80000,H307&gt;=15),"Premium",IF(AND(E307&gt;=50000,H307&gt;=10),"Standard","Basic"))</f>
        <v>Basic</v>
      </c>
      <c r="U307" s="7" t="str">
        <f aca="false">IF(AND(F307&gt;=7,G307&gt;=7),"High Quality Experience","Review Needed")</f>
        <v>High Quality Experience</v>
      </c>
      <c r="V307" s="7" t="str">
        <f aca="false">IF(H307&gt;=10,"Repeat Buyer","Occasional Buyer")</f>
        <v>Repeat Buyer</v>
      </c>
      <c r="W307" s="7" t="str">
        <f aca="false">IF(AND(K307&lt;70,I307="Low"),"At Risk","Stable")</f>
        <v>Stable</v>
      </c>
      <c r="X307" s="7" t="str">
        <f aca="false">IF(AND(K307&lt;75,I307="Low",J307="Bronze"),"Priority Followup","No Action")</f>
        <v>No Action</v>
      </c>
    </row>
    <row r="308" customFormat="false" ht="15" hidden="false" customHeight="false" outlineLevel="0" collapsed="false">
      <c r="A308" s="2" t="n">
        <v>306</v>
      </c>
      <c r="B308" s="2" t="n">
        <v>65</v>
      </c>
      <c r="C308" s="2" t="s">
        <v>11</v>
      </c>
      <c r="D308" s="2" t="s">
        <v>20</v>
      </c>
      <c r="E308" s="2" t="n">
        <v>60119</v>
      </c>
      <c r="F308" s="2" t="n">
        <v>10</v>
      </c>
      <c r="G308" s="2" t="n">
        <v>10</v>
      </c>
      <c r="H308" s="2" t="n">
        <v>15</v>
      </c>
      <c r="I308" s="2" t="s">
        <v>13</v>
      </c>
      <c r="J308" s="2" t="s">
        <v>19</v>
      </c>
      <c r="K308" s="2" t="n">
        <v>100</v>
      </c>
      <c r="L308" s="8" t="str">
        <f aca="false">IF(B308&lt;25,"Gen Z",IF(B308&lt;40,"Millennial",IF(B308&lt;55,"Gen X","Baby Boomer")))</f>
        <v>Baby Boomer</v>
      </c>
      <c r="M308" s="8" t="str">
        <f aca="false">IF(E308&lt;50000,"Low Income",IF(E308&lt;80000,"Middle Income",IF(E308&lt;100000,"Upper Middle","High Income")))</f>
        <v>Middle Income</v>
      </c>
      <c r="N308" s="8" t="str">
        <f aca="false">IF(F308&lt;=3,"Poor",IF(F308&lt;=6,"Average",IF(F308&lt;=8,"Good","Excellent")))</f>
        <v>Excellent</v>
      </c>
      <c r="O308" s="8" t="str">
        <f aca="false">IF(G308&lt;=3,"Poor",IF(G308&lt;=6,"Average",IF(G308&lt;=8,"Good","Excellent")))</f>
        <v>Excellent</v>
      </c>
      <c r="P308" s="8" t="str">
        <f aca="false">IF(H308&lt;=5,"Low Frequency",IF(H308&lt;=10,"Moderate",IF(H308&lt;=15,"High","Very High")))</f>
        <v>High</v>
      </c>
      <c r="Q308" s="8" t="str">
        <f aca="false">IF(K308&gt;=90,"Highly Satisfied",IF(K308&gt;=75,"Satisfied",IF(K308&gt;=60,"Neutral","Dissatisfied")))</f>
        <v>Highly Satisfied</v>
      </c>
      <c r="R308" s="8" t="str">
        <f aca="false">UPPER(LEFT(TRIM(J308),1))&amp;LOWER(MID(TRIM(J308),2,100))</f>
        <v>Silver</v>
      </c>
      <c r="S308" s="8" t="str">
        <f aca="false">IF(I308="High","Positive",IF(I308="Medium","Neutral","Negative"))</f>
        <v>Negative</v>
      </c>
      <c r="T308" s="8" t="str">
        <f aca="false">IF(AND(E308&gt;=80000,H308&gt;=15),"Premium",IF(AND(E308&gt;=50000,H308&gt;=10),"Standard","Basic"))</f>
        <v>Standard</v>
      </c>
      <c r="U308" s="8" t="str">
        <f aca="false">IF(AND(F308&gt;=7,G308&gt;=7),"High Quality Experience","Review Needed")</f>
        <v>High Quality Experience</v>
      </c>
      <c r="V308" s="8" t="str">
        <f aca="false">IF(H308&gt;=10,"Repeat Buyer","Occasional Buyer")</f>
        <v>Repeat Buyer</v>
      </c>
      <c r="W308" s="8" t="str">
        <f aca="false">IF(AND(K308&lt;70,I308="Low"),"At Risk","Stable")</f>
        <v>Stable</v>
      </c>
      <c r="X308" s="8" t="str">
        <f aca="false">IF(AND(K308&lt;75,I308="Low",J308="Bronze"),"Priority Followup","No Action")</f>
        <v>No Action</v>
      </c>
    </row>
    <row r="309" customFormat="false" ht="15" hidden="false" customHeight="false" outlineLevel="0" collapsed="false">
      <c r="A309" s="3" t="n">
        <v>307</v>
      </c>
      <c r="B309" s="3" t="n">
        <v>33</v>
      </c>
      <c r="C309" s="3" t="s">
        <v>11</v>
      </c>
      <c r="D309" s="3" t="s">
        <v>12</v>
      </c>
      <c r="E309" s="3" t="n">
        <v>117437</v>
      </c>
      <c r="F309" s="3" t="n">
        <v>2</v>
      </c>
      <c r="G309" s="3" t="n">
        <v>5</v>
      </c>
      <c r="H309" s="3" t="n">
        <v>12</v>
      </c>
      <c r="I309" s="3" t="s">
        <v>21</v>
      </c>
      <c r="J309" s="3" t="s">
        <v>16</v>
      </c>
      <c r="K309" s="3" t="n">
        <v>75.24</v>
      </c>
      <c r="L309" s="7" t="str">
        <f aca="false">IF(B309&lt;25,"Gen Z",IF(B309&lt;40,"Millennial",IF(B309&lt;55,"Gen X","Baby Boomer")))</f>
        <v>Millennial</v>
      </c>
      <c r="M309" s="7" t="str">
        <f aca="false">IF(E309&lt;50000,"Low Income",IF(E309&lt;80000,"Middle Income",IF(E309&lt;100000,"Upper Middle","High Income")))</f>
        <v>High Income</v>
      </c>
      <c r="N309" s="7" t="str">
        <f aca="false">IF(F309&lt;=3,"Poor",IF(F309&lt;=6,"Average",IF(F309&lt;=8,"Good","Excellent")))</f>
        <v>Poor</v>
      </c>
      <c r="O309" s="7" t="str">
        <f aca="false">IF(G309&lt;=3,"Poor",IF(G309&lt;=6,"Average",IF(G309&lt;=8,"Good","Excellent")))</f>
        <v>Average</v>
      </c>
      <c r="P309" s="7" t="str">
        <f aca="false">IF(H309&lt;=5,"Low Frequency",IF(H309&lt;=10,"Moderate",IF(H309&lt;=15,"High","Very High")))</f>
        <v>High</v>
      </c>
      <c r="Q309" s="7" t="str">
        <f aca="false">IF(K309&gt;=90,"Highly Satisfied",IF(K309&gt;=75,"Satisfied",IF(K309&gt;=60,"Neutral","Dissatisfied")))</f>
        <v>Satisfied</v>
      </c>
      <c r="R309" s="7" t="str">
        <f aca="false">UPPER(LEFT(TRIM(J309),1))&amp;LOWER(MID(TRIM(J309),2,100))</f>
        <v>Gold</v>
      </c>
      <c r="S309" s="7" t="str">
        <f aca="false">IF(I309="High","Positive",IF(I309="Medium","Neutral","Negative"))</f>
        <v>Positive</v>
      </c>
      <c r="T309" s="7" t="str">
        <f aca="false">IF(AND(E309&gt;=80000,H309&gt;=15),"Premium",IF(AND(E309&gt;=50000,H309&gt;=10),"Standard","Basic"))</f>
        <v>Standard</v>
      </c>
      <c r="U309" s="7" t="str">
        <f aca="false">IF(AND(F309&gt;=7,G309&gt;=7),"High Quality Experience","Review Needed")</f>
        <v>Review Needed</v>
      </c>
      <c r="V309" s="7" t="str">
        <f aca="false">IF(H309&gt;=10,"Repeat Buyer","Occasional Buyer")</f>
        <v>Repeat Buyer</v>
      </c>
      <c r="W309" s="7" t="str">
        <f aca="false">IF(AND(K309&lt;70,I309="Low"),"At Risk","Stable")</f>
        <v>Stable</v>
      </c>
      <c r="X309" s="7" t="str">
        <f aca="false">IF(AND(K309&lt;75,I309="Low",J309="Bronze"),"Priority Followup","No Action")</f>
        <v>No Action</v>
      </c>
    </row>
    <row r="310" customFormat="false" ht="15" hidden="false" customHeight="false" outlineLevel="0" collapsed="false">
      <c r="A310" s="2" t="n">
        <v>308</v>
      </c>
      <c r="B310" s="2" t="n">
        <v>20</v>
      </c>
      <c r="C310" s="2" t="s">
        <v>11</v>
      </c>
      <c r="D310" s="2" t="s">
        <v>22</v>
      </c>
      <c r="E310" s="2" t="n">
        <v>97999</v>
      </c>
      <c r="F310" s="2" t="n">
        <v>2</v>
      </c>
      <c r="G310" s="2" t="n">
        <v>4</v>
      </c>
      <c r="H310" s="2" t="n">
        <v>19</v>
      </c>
      <c r="I310" s="2" t="s">
        <v>21</v>
      </c>
      <c r="J310" s="2" t="s">
        <v>19</v>
      </c>
      <c r="K310" s="2" t="n">
        <v>68.56</v>
      </c>
      <c r="L310" s="8" t="str">
        <f aca="false">IF(B310&lt;25,"Gen Z",IF(B310&lt;40,"Millennial",IF(B310&lt;55,"Gen X","Baby Boomer")))</f>
        <v>Gen Z</v>
      </c>
      <c r="M310" s="8" t="str">
        <f aca="false">IF(E310&lt;50000,"Low Income",IF(E310&lt;80000,"Middle Income",IF(E310&lt;100000,"Upper Middle","High Income")))</f>
        <v>Upper Middle</v>
      </c>
      <c r="N310" s="8" t="str">
        <f aca="false">IF(F310&lt;=3,"Poor",IF(F310&lt;=6,"Average",IF(F310&lt;=8,"Good","Excellent")))</f>
        <v>Poor</v>
      </c>
      <c r="O310" s="8" t="str">
        <f aca="false">IF(G310&lt;=3,"Poor",IF(G310&lt;=6,"Average",IF(G310&lt;=8,"Good","Excellent")))</f>
        <v>Average</v>
      </c>
      <c r="P310" s="8" t="str">
        <f aca="false">IF(H310&lt;=5,"Low Frequency",IF(H310&lt;=10,"Moderate",IF(H310&lt;=15,"High","Very High")))</f>
        <v>Very High</v>
      </c>
      <c r="Q310" s="8" t="str">
        <f aca="false">IF(K310&gt;=90,"Highly Satisfied",IF(K310&gt;=75,"Satisfied",IF(K310&gt;=60,"Neutral","Dissatisfied")))</f>
        <v>Neutral</v>
      </c>
      <c r="R310" s="8" t="str">
        <f aca="false">UPPER(LEFT(TRIM(J310),1))&amp;LOWER(MID(TRIM(J310),2,100))</f>
        <v>Silver</v>
      </c>
      <c r="S310" s="8" t="str">
        <f aca="false">IF(I310="High","Positive",IF(I310="Medium","Neutral","Negative"))</f>
        <v>Positive</v>
      </c>
      <c r="T310" s="8" t="str">
        <f aca="false">IF(AND(E310&gt;=80000,H310&gt;=15),"Premium",IF(AND(E310&gt;=50000,H310&gt;=10),"Standard","Basic"))</f>
        <v>Premium</v>
      </c>
      <c r="U310" s="8" t="str">
        <f aca="false">IF(AND(F310&gt;=7,G310&gt;=7),"High Quality Experience","Review Needed")</f>
        <v>Review Needed</v>
      </c>
      <c r="V310" s="8" t="str">
        <f aca="false">IF(H310&gt;=10,"Repeat Buyer","Occasional Buyer")</f>
        <v>Repeat Buyer</v>
      </c>
      <c r="W310" s="8" t="str">
        <f aca="false">IF(AND(K310&lt;70,I310="Low"),"At Risk","Stable")</f>
        <v>Stable</v>
      </c>
      <c r="X310" s="8" t="str">
        <f aca="false">IF(AND(K310&lt;75,I310="Low",J310="Bronze"),"Priority Followup","No Action")</f>
        <v>No Action</v>
      </c>
    </row>
    <row r="311" customFormat="false" ht="15" hidden="false" customHeight="false" outlineLevel="0" collapsed="false">
      <c r="A311" s="3" t="n">
        <v>309</v>
      </c>
      <c r="B311" s="3" t="n">
        <v>37</v>
      </c>
      <c r="C311" s="3" t="s">
        <v>11</v>
      </c>
      <c r="D311" s="3" t="s">
        <v>23</v>
      </c>
      <c r="E311" s="3" t="n">
        <v>65799</v>
      </c>
      <c r="F311" s="3" t="n">
        <v>10</v>
      </c>
      <c r="G311" s="3" t="n">
        <v>2</v>
      </c>
      <c r="H311" s="3" t="n">
        <v>2</v>
      </c>
      <c r="I311" s="3" t="s">
        <v>15</v>
      </c>
      <c r="J311" s="3" t="s">
        <v>16</v>
      </c>
      <c r="K311" s="3" t="n">
        <v>87.92</v>
      </c>
      <c r="L311" s="7" t="str">
        <f aca="false">IF(B311&lt;25,"Gen Z",IF(B311&lt;40,"Millennial",IF(B311&lt;55,"Gen X","Baby Boomer")))</f>
        <v>Millennial</v>
      </c>
      <c r="M311" s="7" t="str">
        <f aca="false">IF(E311&lt;50000,"Low Income",IF(E311&lt;80000,"Middle Income",IF(E311&lt;100000,"Upper Middle","High Income")))</f>
        <v>Middle Income</v>
      </c>
      <c r="N311" s="7" t="str">
        <f aca="false">IF(F311&lt;=3,"Poor",IF(F311&lt;=6,"Average",IF(F311&lt;=8,"Good","Excellent")))</f>
        <v>Excellent</v>
      </c>
      <c r="O311" s="7" t="str">
        <f aca="false">IF(G311&lt;=3,"Poor",IF(G311&lt;=6,"Average",IF(G311&lt;=8,"Good","Excellent")))</f>
        <v>Poor</v>
      </c>
      <c r="P311" s="7" t="str">
        <f aca="false">IF(H311&lt;=5,"Low Frequency",IF(H311&lt;=10,"Moderate",IF(H311&lt;=15,"High","Very High")))</f>
        <v>Low Frequency</v>
      </c>
      <c r="Q311" s="7" t="str">
        <f aca="false">IF(K311&gt;=90,"Highly Satisfied",IF(K311&gt;=75,"Satisfied",IF(K311&gt;=60,"Neutral","Dissatisfied")))</f>
        <v>Satisfied</v>
      </c>
      <c r="R311" s="7" t="str">
        <f aca="false">UPPER(LEFT(TRIM(J311),1))&amp;LOWER(MID(TRIM(J311),2,100))</f>
        <v>Gold</v>
      </c>
      <c r="S311" s="7" t="str">
        <f aca="false">IF(I311="High","Positive",IF(I311="Medium","Neutral","Negative"))</f>
        <v>Neutral</v>
      </c>
      <c r="T311" s="7" t="str">
        <f aca="false">IF(AND(E311&gt;=80000,H311&gt;=15),"Premium",IF(AND(E311&gt;=50000,H311&gt;=10),"Standard","Basic"))</f>
        <v>Basic</v>
      </c>
      <c r="U311" s="7" t="str">
        <f aca="false">IF(AND(F311&gt;=7,G311&gt;=7),"High Quality Experience","Review Needed")</f>
        <v>Review Needed</v>
      </c>
      <c r="V311" s="7" t="str">
        <f aca="false">IF(H311&gt;=10,"Repeat Buyer","Occasional Buyer")</f>
        <v>Occasional Buyer</v>
      </c>
      <c r="W311" s="7" t="str">
        <f aca="false">IF(AND(K311&lt;70,I311="Low"),"At Risk","Stable")</f>
        <v>Stable</v>
      </c>
      <c r="X311" s="7" t="str">
        <f aca="false">IF(AND(K311&lt;75,I311="Low",J311="Bronze"),"Priority Followup","No Action")</f>
        <v>No Action</v>
      </c>
    </row>
    <row r="312" customFormat="false" ht="15" hidden="false" customHeight="false" outlineLevel="0" collapsed="false">
      <c r="A312" s="2" t="n">
        <v>310</v>
      </c>
      <c r="B312" s="2" t="n">
        <v>41</v>
      </c>
      <c r="C312" s="2" t="s">
        <v>11</v>
      </c>
      <c r="D312" s="2" t="s">
        <v>12</v>
      </c>
      <c r="E312" s="2" t="n">
        <v>31830</v>
      </c>
      <c r="F312" s="2" t="n">
        <v>5</v>
      </c>
      <c r="G312" s="2" t="n">
        <v>10</v>
      </c>
      <c r="H312" s="2" t="n">
        <v>15</v>
      </c>
      <c r="I312" s="2" t="s">
        <v>15</v>
      </c>
      <c r="J312" s="2" t="s">
        <v>19</v>
      </c>
      <c r="K312" s="2" t="n">
        <v>100</v>
      </c>
      <c r="L312" s="8" t="str">
        <f aca="false">IF(B312&lt;25,"Gen Z",IF(B312&lt;40,"Millennial",IF(B312&lt;55,"Gen X","Baby Boomer")))</f>
        <v>Gen X</v>
      </c>
      <c r="M312" s="8" t="str">
        <f aca="false">IF(E312&lt;50000,"Low Income",IF(E312&lt;80000,"Middle Income",IF(E312&lt;100000,"Upper Middle","High Income")))</f>
        <v>Low Income</v>
      </c>
      <c r="N312" s="8" t="str">
        <f aca="false">IF(F312&lt;=3,"Poor",IF(F312&lt;=6,"Average",IF(F312&lt;=8,"Good","Excellent")))</f>
        <v>Average</v>
      </c>
      <c r="O312" s="8" t="str">
        <f aca="false">IF(G312&lt;=3,"Poor",IF(G312&lt;=6,"Average",IF(G312&lt;=8,"Good","Excellent")))</f>
        <v>Excellent</v>
      </c>
      <c r="P312" s="8" t="str">
        <f aca="false">IF(H312&lt;=5,"Low Frequency",IF(H312&lt;=10,"Moderate",IF(H312&lt;=15,"High","Very High")))</f>
        <v>High</v>
      </c>
      <c r="Q312" s="8" t="str">
        <f aca="false">IF(K312&gt;=90,"Highly Satisfied",IF(K312&gt;=75,"Satisfied",IF(K312&gt;=60,"Neutral","Dissatisfied")))</f>
        <v>Highly Satisfied</v>
      </c>
      <c r="R312" s="8" t="str">
        <f aca="false">UPPER(LEFT(TRIM(J312),1))&amp;LOWER(MID(TRIM(J312),2,100))</f>
        <v>Silver</v>
      </c>
      <c r="S312" s="8" t="str">
        <f aca="false">IF(I312="High","Positive",IF(I312="Medium","Neutral","Negative"))</f>
        <v>Neutral</v>
      </c>
      <c r="T312" s="8" t="str">
        <f aca="false">IF(AND(E312&gt;=80000,H312&gt;=15),"Premium",IF(AND(E312&gt;=50000,H312&gt;=10),"Standard","Basic"))</f>
        <v>Basic</v>
      </c>
      <c r="U312" s="8" t="str">
        <f aca="false">IF(AND(F312&gt;=7,G312&gt;=7),"High Quality Experience","Review Needed")</f>
        <v>Review Needed</v>
      </c>
      <c r="V312" s="8" t="str">
        <f aca="false">IF(H312&gt;=10,"Repeat Buyer","Occasional Buyer")</f>
        <v>Repeat Buyer</v>
      </c>
      <c r="W312" s="8" t="str">
        <f aca="false">IF(AND(K312&lt;70,I312="Low"),"At Risk","Stable")</f>
        <v>Stable</v>
      </c>
      <c r="X312" s="8" t="str">
        <f aca="false">IF(AND(K312&lt;75,I312="Low",J312="Bronze"),"Priority Followup","No Action")</f>
        <v>No Action</v>
      </c>
    </row>
    <row r="313" customFormat="false" ht="15" hidden="false" customHeight="false" outlineLevel="0" collapsed="false">
      <c r="A313" s="3" t="n">
        <v>311</v>
      </c>
      <c r="B313" s="3" t="n">
        <v>50</v>
      </c>
      <c r="C313" s="3" t="s">
        <v>11</v>
      </c>
      <c r="D313" s="3" t="s">
        <v>23</v>
      </c>
      <c r="E313" s="3" t="n">
        <v>111508</v>
      </c>
      <c r="F313" s="3" t="n">
        <v>2</v>
      </c>
      <c r="G313" s="3" t="n">
        <v>1</v>
      </c>
      <c r="H313" s="3" t="n">
        <v>20</v>
      </c>
      <c r="I313" s="3" t="s">
        <v>15</v>
      </c>
      <c r="J313" s="3" t="s">
        <v>19</v>
      </c>
      <c r="K313" s="3" t="n">
        <v>85.46</v>
      </c>
      <c r="L313" s="7" t="str">
        <f aca="false">IF(B313&lt;25,"Gen Z",IF(B313&lt;40,"Millennial",IF(B313&lt;55,"Gen X","Baby Boomer")))</f>
        <v>Gen X</v>
      </c>
      <c r="M313" s="7" t="str">
        <f aca="false">IF(E313&lt;50000,"Low Income",IF(E313&lt;80000,"Middle Income",IF(E313&lt;100000,"Upper Middle","High Income")))</f>
        <v>High Income</v>
      </c>
      <c r="N313" s="7" t="str">
        <f aca="false">IF(F313&lt;=3,"Poor",IF(F313&lt;=6,"Average",IF(F313&lt;=8,"Good","Excellent")))</f>
        <v>Poor</v>
      </c>
      <c r="O313" s="7" t="str">
        <f aca="false">IF(G313&lt;=3,"Poor",IF(G313&lt;=6,"Average",IF(G313&lt;=8,"Good","Excellent")))</f>
        <v>Poor</v>
      </c>
      <c r="P313" s="7" t="str">
        <f aca="false">IF(H313&lt;=5,"Low Frequency",IF(H313&lt;=10,"Moderate",IF(H313&lt;=15,"High","Very High")))</f>
        <v>Very High</v>
      </c>
      <c r="Q313" s="7" t="str">
        <f aca="false">IF(K313&gt;=90,"Highly Satisfied",IF(K313&gt;=75,"Satisfied",IF(K313&gt;=60,"Neutral","Dissatisfied")))</f>
        <v>Satisfied</v>
      </c>
      <c r="R313" s="7" t="str">
        <f aca="false">UPPER(LEFT(TRIM(J313),1))&amp;LOWER(MID(TRIM(J313),2,100))</f>
        <v>Silver</v>
      </c>
      <c r="S313" s="7" t="str">
        <f aca="false">IF(I313="High","Positive",IF(I313="Medium","Neutral","Negative"))</f>
        <v>Neutral</v>
      </c>
      <c r="T313" s="7" t="str">
        <f aca="false">IF(AND(E313&gt;=80000,H313&gt;=15),"Premium",IF(AND(E313&gt;=50000,H313&gt;=10),"Standard","Basic"))</f>
        <v>Premium</v>
      </c>
      <c r="U313" s="7" t="str">
        <f aca="false">IF(AND(F313&gt;=7,G313&gt;=7),"High Quality Experience","Review Needed")</f>
        <v>Review Needed</v>
      </c>
      <c r="V313" s="7" t="str">
        <f aca="false">IF(H313&gt;=10,"Repeat Buyer","Occasional Buyer")</f>
        <v>Repeat Buyer</v>
      </c>
      <c r="W313" s="7" t="str">
        <f aca="false">IF(AND(K313&lt;70,I313="Low"),"At Risk","Stable")</f>
        <v>Stable</v>
      </c>
      <c r="X313" s="7" t="str">
        <f aca="false">IF(AND(K313&lt;75,I313="Low",J313="Bronze"),"Priority Followup","No Action")</f>
        <v>No Action</v>
      </c>
    </row>
    <row r="314" customFormat="false" ht="15" hidden="false" customHeight="false" outlineLevel="0" collapsed="false">
      <c r="A314" s="2" t="n">
        <v>312</v>
      </c>
      <c r="B314" s="2" t="n">
        <v>41</v>
      </c>
      <c r="C314" s="2" t="s">
        <v>17</v>
      </c>
      <c r="D314" s="2" t="s">
        <v>18</v>
      </c>
      <c r="E314" s="2" t="n">
        <v>63322</v>
      </c>
      <c r="F314" s="2" t="n">
        <v>2</v>
      </c>
      <c r="G314" s="2" t="n">
        <v>3</v>
      </c>
      <c r="H314" s="2" t="n">
        <v>13</v>
      </c>
      <c r="I314" s="2" t="s">
        <v>13</v>
      </c>
      <c r="J314" s="2" t="s">
        <v>16</v>
      </c>
      <c r="K314" s="2" t="n">
        <v>52.78</v>
      </c>
      <c r="L314" s="8" t="str">
        <f aca="false">IF(B314&lt;25,"Gen Z",IF(B314&lt;40,"Millennial",IF(B314&lt;55,"Gen X","Baby Boomer")))</f>
        <v>Gen X</v>
      </c>
      <c r="M314" s="8" t="str">
        <f aca="false">IF(E314&lt;50000,"Low Income",IF(E314&lt;80000,"Middle Income",IF(E314&lt;100000,"Upper Middle","High Income")))</f>
        <v>Middle Income</v>
      </c>
      <c r="N314" s="8" t="str">
        <f aca="false">IF(F314&lt;=3,"Poor",IF(F314&lt;=6,"Average",IF(F314&lt;=8,"Good","Excellent")))</f>
        <v>Poor</v>
      </c>
      <c r="O314" s="8" t="str">
        <f aca="false">IF(G314&lt;=3,"Poor",IF(G314&lt;=6,"Average",IF(G314&lt;=8,"Good","Excellent")))</f>
        <v>Poor</v>
      </c>
      <c r="P314" s="8" t="str">
        <f aca="false">IF(H314&lt;=5,"Low Frequency",IF(H314&lt;=10,"Moderate",IF(H314&lt;=15,"High","Very High")))</f>
        <v>High</v>
      </c>
      <c r="Q314" s="8" t="str">
        <f aca="false">IF(K314&gt;=90,"Highly Satisfied",IF(K314&gt;=75,"Satisfied",IF(K314&gt;=60,"Neutral","Dissatisfied")))</f>
        <v>Dissatisfied</v>
      </c>
      <c r="R314" s="8" t="str">
        <f aca="false">UPPER(LEFT(TRIM(J314),1))&amp;LOWER(MID(TRIM(J314),2,100))</f>
        <v>Gold</v>
      </c>
      <c r="S314" s="8" t="str">
        <f aca="false">IF(I314="High","Positive",IF(I314="Medium","Neutral","Negative"))</f>
        <v>Negative</v>
      </c>
      <c r="T314" s="8" t="str">
        <f aca="false">IF(AND(E314&gt;=80000,H314&gt;=15),"Premium",IF(AND(E314&gt;=50000,H314&gt;=10),"Standard","Basic"))</f>
        <v>Standard</v>
      </c>
      <c r="U314" s="8" t="str">
        <f aca="false">IF(AND(F314&gt;=7,G314&gt;=7),"High Quality Experience","Review Needed")</f>
        <v>Review Needed</v>
      </c>
      <c r="V314" s="8" t="str">
        <f aca="false">IF(H314&gt;=10,"Repeat Buyer","Occasional Buyer")</f>
        <v>Repeat Buyer</v>
      </c>
      <c r="W314" s="8" t="str">
        <f aca="false">IF(AND(K314&lt;70,I314="Low"),"At Risk","Stable")</f>
        <v>At Risk</v>
      </c>
      <c r="X314" s="8" t="str">
        <f aca="false">IF(AND(K314&lt;75,I314="Low",J314="Bronze"),"Priority Followup","No Action")</f>
        <v>No Action</v>
      </c>
    </row>
    <row r="315" customFormat="false" ht="15" hidden="false" customHeight="false" outlineLevel="0" collapsed="false">
      <c r="A315" s="3" t="n">
        <v>313</v>
      </c>
      <c r="B315" s="3" t="n">
        <v>69</v>
      </c>
      <c r="C315" s="3" t="s">
        <v>17</v>
      </c>
      <c r="D315" s="3" t="s">
        <v>20</v>
      </c>
      <c r="E315" s="3" t="n">
        <v>56038</v>
      </c>
      <c r="F315" s="3" t="n">
        <v>4</v>
      </c>
      <c r="G315" s="3" t="n">
        <v>7</v>
      </c>
      <c r="H315" s="3" t="n">
        <v>18</v>
      </c>
      <c r="I315" s="3" t="s">
        <v>15</v>
      </c>
      <c r="J315" s="3" t="s">
        <v>14</v>
      </c>
      <c r="K315" s="3" t="n">
        <v>100</v>
      </c>
      <c r="L315" s="7" t="str">
        <f aca="false">IF(B315&lt;25,"Gen Z",IF(B315&lt;40,"Millennial",IF(B315&lt;55,"Gen X","Baby Boomer")))</f>
        <v>Baby Boomer</v>
      </c>
      <c r="M315" s="7" t="str">
        <f aca="false">IF(E315&lt;50000,"Low Income",IF(E315&lt;80000,"Middle Income",IF(E315&lt;100000,"Upper Middle","High Income")))</f>
        <v>Middle Income</v>
      </c>
      <c r="N315" s="7" t="str">
        <f aca="false">IF(F315&lt;=3,"Poor",IF(F315&lt;=6,"Average",IF(F315&lt;=8,"Good","Excellent")))</f>
        <v>Average</v>
      </c>
      <c r="O315" s="7" t="str">
        <f aca="false">IF(G315&lt;=3,"Poor",IF(G315&lt;=6,"Average",IF(G315&lt;=8,"Good","Excellent")))</f>
        <v>Good</v>
      </c>
      <c r="P315" s="7" t="str">
        <f aca="false">IF(H315&lt;=5,"Low Frequency",IF(H315&lt;=10,"Moderate",IF(H315&lt;=15,"High","Very High")))</f>
        <v>Very High</v>
      </c>
      <c r="Q315" s="7" t="str">
        <f aca="false">IF(K315&gt;=90,"Highly Satisfied",IF(K315&gt;=75,"Satisfied",IF(K315&gt;=60,"Neutral","Dissatisfied")))</f>
        <v>Highly Satisfied</v>
      </c>
      <c r="R315" s="7" t="str">
        <f aca="false">UPPER(LEFT(TRIM(J315),1))&amp;LOWER(MID(TRIM(J315),2,100))</f>
        <v>Bronze</v>
      </c>
      <c r="S315" s="7" t="str">
        <f aca="false">IF(I315="High","Positive",IF(I315="Medium","Neutral","Negative"))</f>
        <v>Neutral</v>
      </c>
      <c r="T315" s="7" t="str">
        <f aca="false">IF(AND(E315&gt;=80000,H315&gt;=15),"Premium",IF(AND(E315&gt;=50000,H315&gt;=10),"Standard","Basic"))</f>
        <v>Standard</v>
      </c>
      <c r="U315" s="7" t="str">
        <f aca="false">IF(AND(F315&gt;=7,G315&gt;=7),"High Quality Experience","Review Needed")</f>
        <v>Review Needed</v>
      </c>
      <c r="V315" s="7" t="str">
        <f aca="false">IF(H315&gt;=10,"Repeat Buyer","Occasional Buyer")</f>
        <v>Repeat Buyer</v>
      </c>
      <c r="W315" s="7" t="str">
        <f aca="false">IF(AND(K315&lt;70,I315="Low"),"At Risk","Stable")</f>
        <v>Stable</v>
      </c>
      <c r="X315" s="7" t="str">
        <f aca="false">IF(AND(K315&lt;75,I315="Low",J315="Bronze"),"Priority Followup","No Action")</f>
        <v>No Action</v>
      </c>
    </row>
    <row r="316" customFormat="false" ht="15" hidden="false" customHeight="false" outlineLevel="0" collapsed="false">
      <c r="A316" s="2" t="n">
        <v>314</v>
      </c>
      <c r="B316" s="2" t="n">
        <v>28</v>
      </c>
      <c r="C316" s="2" t="s">
        <v>11</v>
      </c>
      <c r="D316" s="2" t="s">
        <v>18</v>
      </c>
      <c r="E316" s="2" t="n">
        <v>65371</v>
      </c>
      <c r="F316" s="2" t="n">
        <v>7</v>
      </c>
      <c r="G316" s="2" t="n">
        <v>6</v>
      </c>
      <c r="H316" s="2" t="n">
        <v>20</v>
      </c>
      <c r="I316" s="2" t="s">
        <v>21</v>
      </c>
      <c r="J316" s="2" t="s">
        <v>14</v>
      </c>
      <c r="K316" s="2" t="n">
        <v>100</v>
      </c>
      <c r="L316" s="8" t="str">
        <f aca="false">IF(B316&lt;25,"Gen Z",IF(B316&lt;40,"Millennial",IF(B316&lt;55,"Gen X","Baby Boomer")))</f>
        <v>Millennial</v>
      </c>
      <c r="M316" s="8" t="str">
        <f aca="false">IF(E316&lt;50000,"Low Income",IF(E316&lt;80000,"Middle Income",IF(E316&lt;100000,"Upper Middle","High Income")))</f>
        <v>Middle Income</v>
      </c>
      <c r="N316" s="8" t="str">
        <f aca="false">IF(F316&lt;=3,"Poor",IF(F316&lt;=6,"Average",IF(F316&lt;=8,"Good","Excellent")))</f>
        <v>Good</v>
      </c>
      <c r="O316" s="8" t="str">
        <f aca="false">IF(G316&lt;=3,"Poor",IF(G316&lt;=6,"Average",IF(G316&lt;=8,"Good","Excellent")))</f>
        <v>Average</v>
      </c>
      <c r="P316" s="8" t="str">
        <f aca="false">IF(H316&lt;=5,"Low Frequency",IF(H316&lt;=10,"Moderate",IF(H316&lt;=15,"High","Very High")))</f>
        <v>Very High</v>
      </c>
      <c r="Q316" s="8" t="str">
        <f aca="false">IF(K316&gt;=90,"Highly Satisfied",IF(K316&gt;=75,"Satisfied",IF(K316&gt;=60,"Neutral","Dissatisfied")))</f>
        <v>Highly Satisfied</v>
      </c>
      <c r="R316" s="8" t="str">
        <f aca="false">UPPER(LEFT(TRIM(J316),1))&amp;LOWER(MID(TRIM(J316),2,100))</f>
        <v>Bronze</v>
      </c>
      <c r="S316" s="8" t="str">
        <f aca="false">IF(I316="High","Positive",IF(I316="Medium","Neutral","Negative"))</f>
        <v>Positive</v>
      </c>
      <c r="T316" s="8" t="str">
        <f aca="false">IF(AND(E316&gt;=80000,H316&gt;=15),"Premium",IF(AND(E316&gt;=50000,H316&gt;=10),"Standard","Basic"))</f>
        <v>Standard</v>
      </c>
      <c r="U316" s="8" t="str">
        <f aca="false">IF(AND(F316&gt;=7,G316&gt;=7),"High Quality Experience","Review Needed")</f>
        <v>Review Needed</v>
      </c>
      <c r="V316" s="8" t="str">
        <f aca="false">IF(H316&gt;=10,"Repeat Buyer","Occasional Buyer")</f>
        <v>Repeat Buyer</v>
      </c>
      <c r="W316" s="8" t="str">
        <f aca="false">IF(AND(K316&lt;70,I316="Low"),"At Risk","Stable")</f>
        <v>Stable</v>
      </c>
      <c r="X316" s="8" t="str">
        <f aca="false">IF(AND(K316&lt;75,I316="Low",J316="Bronze"),"Priority Followup","No Action")</f>
        <v>No Action</v>
      </c>
    </row>
    <row r="317" customFormat="false" ht="15" hidden="false" customHeight="false" outlineLevel="0" collapsed="false">
      <c r="A317" s="3" t="n">
        <v>315</v>
      </c>
      <c r="B317" s="3" t="n">
        <v>66</v>
      </c>
      <c r="C317" s="3" t="s">
        <v>17</v>
      </c>
      <c r="D317" s="3" t="s">
        <v>20</v>
      </c>
      <c r="E317" s="3" t="n">
        <v>119419</v>
      </c>
      <c r="F317" s="3" t="n">
        <v>1</v>
      </c>
      <c r="G317" s="3" t="n">
        <v>7</v>
      </c>
      <c r="H317" s="3" t="n">
        <v>2</v>
      </c>
      <c r="I317" s="3" t="s">
        <v>15</v>
      </c>
      <c r="J317" s="3" t="s">
        <v>14</v>
      </c>
      <c r="K317" s="3" t="n">
        <v>100</v>
      </c>
      <c r="L317" s="7" t="str">
        <f aca="false">IF(B317&lt;25,"Gen Z",IF(B317&lt;40,"Millennial",IF(B317&lt;55,"Gen X","Baby Boomer")))</f>
        <v>Baby Boomer</v>
      </c>
      <c r="M317" s="7" t="str">
        <f aca="false">IF(E317&lt;50000,"Low Income",IF(E317&lt;80000,"Middle Income",IF(E317&lt;100000,"Upper Middle","High Income")))</f>
        <v>High Income</v>
      </c>
      <c r="N317" s="7" t="str">
        <f aca="false">IF(F317&lt;=3,"Poor",IF(F317&lt;=6,"Average",IF(F317&lt;=8,"Good","Excellent")))</f>
        <v>Poor</v>
      </c>
      <c r="O317" s="7" t="str">
        <f aca="false">IF(G317&lt;=3,"Poor",IF(G317&lt;=6,"Average",IF(G317&lt;=8,"Good","Excellent")))</f>
        <v>Good</v>
      </c>
      <c r="P317" s="7" t="str">
        <f aca="false">IF(H317&lt;=5,"Low Frequency",IF(H317&lt;=10,"Moderate",IF(H317&lt;=15,"High","Very High")))</f>
        <v>Low Frequency</v>
      </c>
      <c r="Q317" s="7" t="str">
        <f aca="false">IF(K317&gt;=90,"Highly Satisfied",IF(K317&gt;=75,"Satisfied",IF(K317&gt;=60,"Neutral","Dissatisfied")))</f>
        <v>Highly Satisfied</v>
      </c>
      <c r="R317" s="7" t="str">
        <f aca="false">UPPER(LEFT(TRIM(J317),1))&amp;LOWER(MID(TRIM(J317),2,100))</f>
        <v>Bronze</v>
      </c>
      <c r="S317" s="7" t="str">
        <f aca="false">IF(I317="High","Positive",IF(I317="Medium","Neutral","Negative"))</f>
        <v>Neutral</v>
      </c>
      <c r="T317" s="7" t="str">
        <f aca="false">IF(AND(E317&gt;=80000,H317&gt;=15),"Premium",IF(AND(E317&gt;=50000,H317&gt;=10),"Standard","Basic"))</f>
        <v>Basic</v>
      </c>
      <c r="U317" s="7" t="str">
        <f aca="false">IF(AND(F317&gt;=7,G317&gt;=7),"High Quality Experience","Review Needed")</f>
        <v>Review Needed</v>
      </c>
      <c r="V317" s="7" t="str">
        <f aca="false">IF(H317&gt;=10,"Repeat Buyer","Occasional Buyer")</f>
        <v>Occasional Buyer</v>
      </c>
      <c r="W317" s="7" t="str">
        <f aca="false">IF(AND(K317&lt;70,I317="Low"),"At Risk","Stable")</f>
        <v>Stable</v>
      </c>
      <c r="X317" s="7" t="str">
        <f aca="false">IF(AND(K317&lt;75,I317="Low",J317="Bronze"),"Priority Followup","No Action")</f>
        <v>No Action</v>
      </c>
    </row>
    <row r="318" customFormat="false" ht="15" hidden="false" customHeight="false" outlineLevel="0" collapsed="false">
      <c r="A318" s="2" t="n">
        <v>316</v>
      </c>
      <c r="B318" s="2" t="n">
        <v>25</v>
      </c>
      <c r="C318" s="2" t="s">
        <v>11</v>
      </c>
      <c r="D318" s="2" t="s">
        <v>18</v>
      </c>
      <c r="E318" s="2" t="n">
        <v>46770</v>
      </c>
      <c r="F318" s="2" t="n">
        <v>5</v>
      </c>
      <c r="G318" s="2" t="n">
        <v>8</v>
      </c>
      <c r="H318" s="2" t="n">
        <v>2</v>
      </c>
      <c r="I318" s="2" t="s">
        <v>13</v>
      </c>
      <c r="J318" s="2" t="s">
        <v>19</v>
      </c>
      <c r="K318" s="2" t="n">
        <v>90.77</v>
      </c>
      <c r="L318" s="8" t="str">
        <f aca="false">IF(B318&lt;25,"Gen Z",IF(B318&lt;40,"Millennial",IF(B318&lt;55,"Gen X","Baby Boomer")))</f>
        <v>Millennial</v>
      </c>
      <c r="M318" s="8" t="str">
        <f aca="false">IF(E318&lt;50000,"Low Income",IF(E318&lt;80000,"Middle Income",IF(E318&lt;100000,"Upper Middle","High Income")))</f>
        <v>Low Income</v>
      </c>
      <c r="N318" s="8" t="str">
        <f aca="false">IF(F318&lt;=3,"Poor",IF(F318&lt;=6,"Average",IF(F318&lt;=8,"Good","Excellent")))</f>
        <v>Average</v>
      </c>
      <c r="O318" s="8" t="str">
        <f aca="false">IF(G318&lt;=3,"Poor",IF(G318&lt;=6,"Average",IF(G318&lt;=8,"Good","Excellent")))</f>
        <v>Good</v>
      </c>
      <c r="P318" s="8" t="str">
        <f aca="false">IF(H318&lt;=5,"Low Frequency",IF(H318&lt;=10,"Moderate",IF(H318&lt;=15,"High","Very High")))</f>
        <v>Low Frequency</v>
      </c>
      <c r="Q318" s="8" t="str">
        <f aca="false">IF(K318&gt;=90,"Highly Satisfied",IF(K318&gt;=75,"Satisfied",IF(K318&gt;=60,"Neutral","Dissatisfied")))</f>
        <v>Highly Satisfied</v>
      </c>
      <c r="R318" s="8" t="str">
        <f aca="false">UPPER(LEFT(TRIM(J318),1))&amp;LOWER(MID(TRIM(J318),2,100))</f>
        <v>Silver</v>
      </c>
      <c r="S318" s="8" t="str">
        <f aca="false">IF(I318="High","Positive",IF(I318="Medium","Neutral","Negative"))</f>
        <v>Negative</v>
      </c>
      <c r="T318" s="8" t="str">
        <f aca="false">IF(AND(E318&gt;=80000,H318&gt;=15),"Premium",IF(AND(E318&gt;=50000,H318&gt;=10),"Standard","Basic"))</f>
        <v>Basic</v>
      </c>
      <c r="U318" s="8" t="str">
        <f aca="false">IF(AND(F318&gt;=7,G318&gt;=7),"High Quality Experience","Review Needed")</f>
        <v>Review Needed</v>
      </c>
      <c r="V318" s="8" t="str">
        <f aca="false">IF(H318&gt;=10,"Repeat Buyer","Occasional Buyer")</f>
        <v>Occasional Buyer</v>
      </c>
      <c r="W318" s="8" t="str">
        <f aca="false">IF(AND(K318&lt;70,I318="Low"),"At Risk","Stable")</f>
        <v>Stable</v>
      </c>
      <c r="X318" s="8" t="str">
        <f aca="false">IF(AND(K318&lt;75,I318="Low",J318="Bronze"),"Priority Followup","No Action")</f>
        <v>No Action</v>
      </c>
    </row>
    <row r="319" customFormat="false" ht="15" hidden="false" customHeight="false" outlineLevel="0" collapsed="false">
      <c r="A319" s="3" t="n">
        <v>317</v>
      </c>
      <c r="B319" s="3" t="n">
        <v>53</v>
      </c>
      <c r="C319" s="3" t="s">
        <v>17</v>
      </c>
      <c r="D319" s="3" t="s">
        <v>23</v>
      </c>
      <c r="E319" s="3" t="n">
        <v>69764</v>
      </c>
      <c r="F319" s="3" t="n">
        <v>3</v>
      </c>
      <c r="G319" s="3" t="n">
        <v>8</v>
      </c>
      <c r="H319" s="3" t="n">
        <v>1</v>
      </c>
      <c r="I319" s="3" t="s">
        <v>13</v>
      </c>
      <c r="J319" s="3" t="s">
        <v>14</v>
      </c>
      <c r="K319" s="3" t="n">
        <v>95.06</v>
      </c>
      <c r="L319" s="7" t="str">
        <f aca="false">IF(B319&lt;25,"Gen Z",IF(B319&lt;40,"Millennial",IF(B319&lt;55,"Gen X","Baby Boomer")))</f>
        <v>Gen X</v>
      </c>
      <c r="M319" s="7" t="str">
        <f aca="false">IF(E319&lt;50000,"Low Income",IF(E319&lt;80000,"Middle Income",IF(E319&lt;100000,"Upper Middle","High Income")))</f>
        <v>Middle Income</v>
      </c>
      <c r="N319" s="7" t="str">
        <f aca="false">IF(F319&lt;=3,"Poor",IF(F319&lt;=6,"Average",IF(F319&lt;=8,"Good","Excellent")))</f>
        <v>Poor</v>
      </c>
      <c r="O319" s="7" t="str">
        <f aca="false">IF(G319&lt;=3,"Poor",IF(G319&lt;=6,"Average",IF(G319&lt;=8,"Good","Excellent")))</f>
        <v>Good</v>
      </c>
      <c r="P319" s="7" t="str">
        <f aca="false">IF(H319&lt;=5,"Low Frequency",IF(H319&lt;=10,"Moderate",IF(H319&lt;=15,"High","Very High")))</f>
        <v>Low Frequency</v>
      </c>
      <c r="Q319" s="7" t="str">
        <f aca="false">IF(K319&gt;=90,"Highly Satisfied",IF(K319&gt;=75,"Satisfied",IF(K319&gt;=60,"Neutral","Dissatisfied")))</f>
        <v>Highly Satisfied</v>
      </c>
      <c r="R319" s="7" t="str">
        <f aca="false">UPPER(LEFT(TRIM(J319),1))&amp;LOWER(MID(TRIM(J319),2,100))</f>
        <v>Bronze</v>
      </c>
      <c r="S319" s="7" t="str">
        <f aca="false">IF(I319="High","Positive",IF(I319="Medium","Neutral","Negative"))</f>
        <v>Negative</v>
      </c>
      <c r="T319" s="7" t="str">
        <f aca="false">IF(AND(E319&gt;=80000,H319&gt;=15),"Premium",IF(AND(E319&gt;=50000,H319&gt;=10),"Standard","Basic"))</f>
        <v>Basic</v>
      </c>
      <c r="U319" s="7" t="str">
        <f aca="false">IF(AND(F319&gt;=7,G319&gt;=7),"High Quality Experience","Review Needed")</f>
        <v>Review Needed</v>
      </c>
      <c r="V319" s="7" t="str">
        <f aca="false">IF(H319&gt;=10,"Repeat Buyer","Occasional Buyer")</f>
        <v>Occasional Buyer</v>
      </c>
      <c r="W319" s="7" t="str">
        <f aca="false">IF(AND(K319&lt;70,I319="Low"),"At Risk","Stable")</f>
        <v>Stable</v>
      </c>
      <c r="X319" s="7" t="str">
        <f aca="false">IF(AND(K319&lt;75,I319="Low",J319="Bronze"),"Priority Followup","No Action")</f>
        <v>No Action</v>
      </c>
    </row>
    <row r="320" customFormat="false" ht="15" hidden="false" customHeight="false" outlineLevel="0" collapsed="false">
      <c r="A320" s="2" t="n">
        <v>318</v>
      </c>
      <c r="B320" s="2" t="n">
        <v>55</v>
      </c>
      <c r="C320" s="2" t="s">
        <v>11</v>
      </c>
      <c r="D320" s="2" t="s">
        <v>23</v>
      </c>
      <c r="E320" s="2" t="n">
        <v>68457</v>
      </c>
      <c r="F320" s="2" t="n">
        <v>3</v>
      </c>
      <c r="G320" s="2" t="n">
        <v>10</v>
      </c>
      <c r="H320" s="2" t="n">
        <v>3</v>
      </c>
      <c r="I320" s="2" t="s">
        <v>15</v>
      </c>
      <c r="J320" s="2" t="s">
        <v>16</v>
      </c>
      <c r="K320" s="2" t="n">
        <v>95.69</v>
      </c>
      <c r="L320" s="8" t="str">
        <f aca="false">IF(B320&lt;25,"Gen Z",IF(B320&lt;40,"Millennial",IF(B320&lt;55,"Gen X","Baby Boomer")))</f>
        <v>Baby Boomer</v>
      </c>
      <c r="M320" s="8" t="str">
        <f aca="false">IF(E320&lt;50000,"Low Income",IF(E320&lt;80000,"Middle Income",IF(E320&lt;100000,"Upper Middle","High Income")))</f>
        <v>Middle Income</v>
      </c>
      <c r="N320" s="8" t="str">
        <f aca="false">IF(F320&lt;=3,"Poor",IF(F320&lt;=6,"Average",IF(F320&lt;=8,"Good","Excellent")))</f>
        <v>Poor</v>
      </c>
      <c r="O320" s="8" t="str">
        <f aca="false">IF(G320&lt;=3,"Poor",IF(G320&lt;=6,"Average",IF(G320&lt;=8,"Good","Excellent")))</f>
        <v>Excellent</v>
      </c>
      <c r="P320" s="8" t="str">
        <f aca="false">IF(H320&lt;=5,"Low Frequency",IF(H320&lt;=10,"Moderate",IF(H320&lt;=15,"High","Very High")))</f>
        <v>Low Frequency</v>
      </c>
      <c r="Q320" s="8" t="str">
        <f aca="false">IF(K320&gt;=90,"Highly Satisfied",IF(K320&gt;=75,"Satisfied",IF(K320&gt;=60,"Neutral","Dissatisfied")))</f>
        <v>Highly Satisfied</v>
      </c>
      <c r="R320" s="8" t="str">
        <f aca="false">UPPER(LEFT(TRIM(J320),1))&amp;LOWER(MID(TRIM(J320),2,100))</f>
        <v>Gold</v>
      </c>
      <c r="S320" s="8" t="str">
        <f aca="false">IF(I320="High","Positive",IF(I320="Medium","Neutral","Negative"))</f>
        <v>Neutral</v>
      </c>
      <c r="T320" s="8" t="str">
        <f aca="false">IF(AND(E320&gt;=80000,H320&gt;=15),"Premium",IF(AND(E320&gt;=50000,H320&gt;=10),"Standard","Basic"))</f>
        <v>Basic</v>
      </c>
      <c r="U320" s="8" t="str">
        <f aca="false">IF(AND(F320&gt;=7,G320&gt;=7),"High Quality Experience","Review Needed")</f>
        <v>Review Needed</v>
      </c>
      <c r="V320" s="8" t="str">
        <f aca="false">IF(H320&gt;=10,"Repeat Buyer","Occasional Buyer")</f>
        <v>Occasional Buyer</v>
      </c>
      <c r="W320" s="8" t="str">
        <f aca="false">IF(AND(K320&lt;70,I320="Low"),"At Risk","Stable")</f>
        <v>Stable</v>
      </c>
      <c r="X320" s="8" t="str">
        <f aca="false">IF(AND(K320&lt;75,I320="Low",J320="Bronze"),"Priority Followup","No Action")</f>
        <v>No Action</v>
      </c>
    </row>
    <row r="321" customFormat="false" ht="15" hidden="false" customHeight="false" outlineLevel="0" collapsed="false">
      <c r="A321" s="3" t="n">
        <v>319</v>
      </c>
      <c r="B321" s="3" t="n">
        <v>57</v>
      </c>
      <c r="C321" s="3" t="s">
        <v>11</v>
      </c>
      <c r="D321" s="3" t="s">
        <v>18</v>
      </c>
      <c r="E321" s="3" t="n">
        <v>83082</v>
      </c>
      <c r="F321" s="3" t="n">
        <v>8</v>
      </c>
      <c r="G321" s="3" t="n">
        <v>4</v>
      </c>
      <c r="H321" s="3" t="n">
        <v>19</v>
      </c>
      <c r="I321" s="3" t="s">
        <v>13</v>
      </c>
      <c r="J321" s="3" t="s">
        <v>19</v>
      </c>
      <c r="K321" s="3" t="n">
        <v>98.55</v>
      </c>
      <c r="L321" s="7" t="str">
        <f aca="false">IF(B321&lt;25,"Gen Z",IF(B321&lt;40,"Millennial",IF(B321&lt;55,"Gen X","Baby Boomer")))</f>
        <v>Baby Boomer</v>
      </c>
      <c r="M321" s="7" t="str">
        <f aca="false">IF(E321&lt;50000,"Low Income",IF(E321&lt;80000,"Middle Income",IF(E321&lt;100000,"Upper Middle","High Income")))</f>
        <v>Upper Middle</v>
      </c>
      <c r="N321" s="7" t="str">
        <f aca="false">IF(F321&lt;=3,"Poor",IF(F321&lt;=6,"Average",IF(F321&lt;=8,"Good","Excellent")))</f>
        <v>Good</v>
      </c>
      <c r="O321" s="7" t="str">
        <f aca="false">IF(G321&lt;=3,"Poor",IF(G321&lt;=6,"Average",IF(G321&lt;=8,"Good","Excellent")))</f>
        <v>Average</v>
      </c>
      <c r="P321" s="7" t="str">
        <f aca="false">IF(H321&lt;=5,"Low Frequency",IF(H321&lt;=10,"Moderate",IF(H321&lt;=15,"High","Very High")))</f>
        <v>Very High</v>
      </c>
      <c r="Q321" s="7" t="str">
        <f aca="false">IF(K321&gt;=90,"Highly Satisfied",IF(K321&gt;=75,"Satisfied",IF(K321&gt;=60,"Neutral","Dissatisfied")))</f>
        <v>Highly Satisfied</v>
      </c>
      <c r="R321" s="7" t="str">
        <f aca="false">UPPER(LEFT(TRIM(J321),1))&amp;LOWER(MID(TRIM(J321),2,100))</f>
        <v>Silver</v>
      </c>
      <c r="S321" s="7" t="str">
        <f aca="false">IF(I321="High","Positive",IF(I321="Medium","Neutral","Negative"))</f>
        <v>Negative</v>
      </c>
      <c r="T321" s="7" t="str">
        <f aca="false">IF(AND(E321&gt;=80000,H321&gt;=15),"Premium",IF(AND(E321&gt;=50000,H321&gt;=10),"Standard","Basic"))</f>
        <v>Premium</v>
      </c>
      <c r="U321" s="7" t="str">
        <f aca="false">IF(AND(F321&gt;=7,G321&gt;=7),"High Quality Experience","Review Needed")</f>
        <v>Review Needed</v>
      </c>
      <c r="V321" s="7" t="str">
        <f aca="false">IF(H321&gt;=10,"Repeat Buyer","Occasional Buyer")</f>
        <v>Repeat Buyer</v>
      </c>
      <c r="W321" s="7" t="str">
        <f aca="false">IF(AND(K321&lt;70,I321="Low"),"At Risk","Stable")</f>
        <v>Stable</v>
      </c>
      <c r="X321" s="7" t="str">
        <f aca="false">IF(AND(K321&lt;75,I321="Low",J321="Bronze"),"Priority Followup","No Action")</f>
        <v>No Action</v>
      </c>
    </row>
    <row r="322" customFormat="false" ht="15" hidden="false" customHeight="false" outlineLevel="0" collapsed="false">
      <c r="A322" s="2" t="n">
        <v>320</v>
      </c>
      <c r="B322" s="2" t="n">
        <v>37</v>
      </c>
      <c r="C322" s="2" t="s">
        <v>11</v>
      </c>
      <c r="D322" s="2" t="s">
        <v>22</v>
      </c>
      <c r="E322" s="2" t="n">
        <v>88761</v>
      </c>
      <c r="F322" s="2" t="n">
        <v>4</v>
      </c>
      <c r="G322" s="2" t="n">
        <v>4</v>
      </c>
      <c r="H322" s="2" t="n">
        <v>12</v>
      </c>
      <c r="I322" s="2" t="s">
        <v>15</v>
      </c>
      <c r="J322" s="2" t="s">
        <v>16</v>
      </c>
      <c r="K322" s="2" t="n">
        <v>60.86</v>
      </c>
      <c r="L322" s="8" t="str">
        <f aca="false">IF(B322&lt;25,"Gen Z",IF(B322&lt;40,"Millennial",IF(B322&lt;55,"Gen X","Baby Boomer")))</f>
        <v>Millennial</v>
      </c>
      <c r="M322" s="8" t="str">
        <f aca="false">IF(E322&lt;50000,"Low Income",IF(E322&lt;80000,"Middle Income",IF(E322&lt;100000,"Upper Middle","High Income")))</f>
        <v>Upper Middle</v>
      </c>
      <c r="N322" s="8" t="str">
        <f aca="false">IF(F322&lt;=3,"Poor",IF(F322&lt;=6,"Average",IF(F322&lt;=8,"Good","Excellent")))</f>
        <v>Average</v>
      </c>
      <c r="O322" s="8" t="str">
        <f aca="false">IF(G322&lt;=3,"Poor",IF(G322&lt;=6,"Average",IF(G322&lt;=8,"Good","Excellent")))</f>
        <v>Average</v>
      </c>
      <c r="P322" s="8" t="str">
        <f aca="false">IF(H322&lt;=5,"Low Frequency",IF(H322&lt;=10,"Moderate",IF(H322&lt;=15,"High","Very High")))</f>
        <v>High</v>
      </c>
      <c r="Q322" s="8" t="str">
        <f aca="false">IF(K322&gt;=90,"Highly Satisfied",IF(K322&gt;=75,"Satisfied",IF(K322&gt;=60,"Neutral","Dissatisfied")))</f>
        <v>Neutral</v>
      </c>
      <c r="R322" s="8" t="str">
        <f aca="false">UPPER(LEFT(TRIM(J322),1))&amp;LOWER(MID(TRIM(J322),2,100))</f>
        <v>Gold</v>
      </c>
      <c r="S322" s="8" t="str">
        <f aca="false">IF(I322="High","Positive",IF(I322="Medium","Neutral","Negative"))</f>
        <v>Neutral</v>
      </c>
      <c r="T322" s="8" t="str">
        <f aca="false">IF(AND(E322&gt;=80000,H322&gt;=15),"Premium",IF(AND(E322&gt;=50000,H322&gt;=10),"Standard","Basic"))</f>
        <v>Standard</v>
      </c>
      <c r="U322" s="8" t="str">
        <f aca="false">IF(AND(F322&gt;=7,G322&gt;=7),"High Quality Experience","Review Needed")</f>
        <v>Review Needed</v>
      </c>
      <c r="V322" s="8" t="str">
        <f aca="false">IF(H322&gt;=10,"Repeat Buyer","Occasional Buyer")</f>
        <v>Repeat Buyer</v>
      </c>
      <c r="W322" s="8" t="str">
        <f aca="false">IF(AND(K322&lt;70,I322="Low"),"At Risk","Stable")</f>
        <v>Stable</v>
      </c>
      <c r="X322" s="8" t="str">
        <f aca="false">IF(AND(K322&lt;75,I322="Low",J322="Bronze"),"Priority Followup","No Action")</f>
        <v>No Action</v>
      </c>
    </row>
    <row r="323" customFormat="false" ht="15" hidden="false" customHeight="false" outlineLevel="0" collapsed="false">
      <c r="A323" s="3" t="n">
        <v>321</v>
      </c>
      <c r="B323" s="3" t="n">
        <v>52</v>
      </c>
      <c r="C323" s="3" t="s">
        <v>17</v>
      </c>
      <c r="D323" s="3" t="s">
        <v>18</v>
      </c>
      <c r="E323" s="3" t="n">
        <v>71481</v>
      </c>
      <c r="F323" s="3" t="n">
        <v>6</v>
      </c>
      <c r="G323" s="3" t="n">
        <v>1</v>
      </c>
      <c r="H323" s="3" t="n">
        <v>1</v>
      </c>
      <c r="I323" s="3" t="s">
        <v>15</v>
      </c>
      <c r="J323" s="3" t="s">
        <v>19</v>
      </c>
      <c r="K323" s="3" t="n">
        <v>69.67</v>
      </c>
      <c r="L323" s="7" t="str">
        <f aca="false">IF(B323&lt;25,"Gen Z",IF(B323&lt;40,"Millennial",IF(B323&lt;55,"Gen X","Baby Boomer")))</f>
        <v>Gen X</v>
      </c>
      <c r="M323" s="7" t="str">
        <f aca="false">IF(E323&lt;50000,"Low Income",IF(E323&lt;80000,"Middle Income",IF(E323&lt;100000,"Upper Middle","High Income")))</f>
        <v>Middle Income</v>
      </c>
      <c r="N323" s="7" t="str">
        <f aca="false">IF(F323&lt;=3,"Poor",IF(F323&lt;=6,"Average",IF(F323&lt;=8,"Good","Excellent")))</f>
        <v>Average</v>
      </c>
      <c r="O323" s="7" t="str">
        <f aca="false">IF(G323&lt;=3,"Poor",IF(G323&lt;=6,"Average",IF(G323&lt;=8,"Good","Excellent")))</f>
        <v>Poor</v>
      </c>
      <c r="P323" s="7" t="str">
        <f aca="false">IF(H323&lt;=5,"Low Frequency",IF(H323&lt;=10,"Moderate",IF(H323&lt;=15,"High","Very High")))</f>
        <v>Low Frequency</v>
      </c>
      <c r="Q323" s="7" t="str">
        <f aca="false">IF(K323&gt;=90,"Highly Satisfied",IF(K323&gt;=75,"Satisfied",IF(K323&gt;=60,"Neutral","Dissatisfied")))</f>
        <v>Neutral</v>
      </c>
      <c r="R323" s="7" t="str">
        <f aca="false">UPPER(LEFT(TRIM(J323),1))&amp;LOWER(MID(TRIM(J323),2,100))</f>
        <v>Silver</v>
      </c>
      <c r="S323" s="7" t="str">
        <f aca="false">IF(I323="High","Positive",IF(I323="Medium","Neutral","Negative"))</f>
        <v>Neutral</v>
      </c>
      <c r="T323" s="7" t="str">
        <f aca="false">IF(AND(E323&gt;=80000,H323&gt;=15),"Premium",IF(AND(E323&gt;=50000,H323&gt;=10),"Standard","Basic"))</f>
        <v>Basic</v>
      </c>
      <c r="U323" s="7" t="str">
        <f aca="false">IF(AND(F323&gt;=7,G323&gt;=7),"High Quality Experience","Review Needed")</f>
        <v>Review Needed</v>
      </c>
      <c r="V323" s="7" t="str">
        <f aca="false">IF(H323&gt;=10,"Repeat Buyer","Occasional Buyer")</f>
        <v>Occasional Buyer</v>
      </c>
      <c r="W323" s="7" t="str">
        <f aca="false">IF(AND(K323&lt;70,I323="Low"),"At Risk","Stable")</f>
        <v>Stable</v>
      </c>
      <c r="X323" s="7" t="str">
        <f aca="false">IF(AND(K323&lt;75,I323="Low",J323="Bronze"),"Priority Followup","No Action")</f>
        <v>No Action</v>
      </c>
    </row>
    <row r="324" customFormat="false" ht="15" hidden="false" customHeight="false" outlineLevel="0" collapsed="false">
      <c r="A324" s="2" t="n">
        <v>322</v>
      </c>
      <c r="B324" s="2" t="n">
        <v>65</v>
      </c>
      <c r="C324" s="2" t="s">
        <v>17</v>
      </c>
      <c r="D324" s="2" t="s">
        <v>12</v>
      </c>
      <c r="E324" s="2" t="n">
        <v>46336</v>
      </c>
      <c r="F324" s="2" t="n">
        <v>10</v>
      </c>
      <c r="G324" s="2" t="n">
        <v>5</v>
      </c>
      <c r="H324" s="2" t="n">
        <v>3</v>
      </c>
      <c r="I324" s="2" t="s">
        <v>15</v>
      </c>
      <c r="J324" s="2" t="s">
        <v>16</v>
      </c>
      <c r="K324" s="2" t="n">
        <v>100</v>
      </c>
      <c r="L324" s="8" t="str">
        <f aca="false">IF(B324&lt;25,"Gen Z",IF(B324&lt;40,"Millennial",IF(B324&lt;55,"Gen X","Baby Boomer")))</f>
        <v>Baby Boomer</v>
      </c>
      <c r="M324" s="8" t="str">
        <f aca="false">IF(E324&lt;50000,"Low Income",IF(E324&lt;80000,"Middle Income",IF(E324&lt;100000,"Upper Middle","High Income")))</f>
        <v>Low Income</v>
      </c>
      <c r="N324" s="8" t="str">
        <f aca="false">IF(F324&lt;=3,"Poor",IF(F324&lt;=6,"Average",IF(F324&lt;=8,"Good","Excellent")))</f>
        <v>Excellent</v>
      </c>
      <c r="O324" s="8" t="str">
        <f aca="false">IF(G324&lt;=3,"Poor",IF(G324&lt;=6,"Average",IF(G324&lt;=8,"Good","Excellent")))</f>
        <v>Average</v>
      </c>
      <c r="P324" s="8" t="str">
        <f aca="false">IF(H324&lt;=5,"Low Frequency",IF(H324&lt;=10,"Moderate",IF(H324&lt;=15,"High","Very High")))</f>
        <v>Low Frequency</v>
      </c>
      <c r="Q324" s="8" t="str">
        <f aca="false">IF(K324&gt;=90,"Highly Satisfied",IF(K324&gt;=75,"Satisfied",IF(K324&gt;=60,"Neutral","Dissatisfied")))</f>
        <v>Highly Satisfied</v>
      </c>
      <c r="R324" s="8" t="str">
        <f aca="false">UPPER(LEFT(TRIM(J324),1))&amp;LOWER(MID(TRIM(J324),2,100))</f>
        <v>Gold</v>
      </c>
      <c r="S324" s="8" t="str">
        <f aca="false">IF(I324="High","Positive",IF(I324="Medium","Neutral","Negative"))</f>
        <v>Neutral</v>
      </c>
      <c r="T324" s="8" t="str">
        <f aca="false">IF(AND(E324&gt;=80000,H324&gt;=15),"Premium",IF(AND(E324&gt;=50000,H324&gt;=10),"Standard","Basic"))</f>
        <v>Basic</v>
      </c>
      <c r="U324" s="8" t="str">
        <f aca="false">IF(AND(F324&gt;=7,G324&gt;=7),"High Quality Experience","Review Needed")</f>
        <v>Review Needed</v>
      </c>
      <c r="V324" s="8" t="str">
        <f aca="false">IF(H324&gt;=10,"Repeat Buyer","Occasional Buyer")</f>
        <v>Occasional Buyer</v>
      </c>
      <c r="W324" s="8" t="str">
        <f aca="false">IF(AND(K324&lt;70,I324="Low"),"At Risk","Stable")</f>
        <v>Stable</v>
      </c>
      <c r="X324" s="8" t="str">
        <f aca="false">IF(AND(K324&lt;75,I324="Low",J324="Bronze"),"Priority Followup","No Action")</f>
        <v>No Action</v>
      </c>
    </row>
    <row r="325" customFormat="false" ht="15" hidden="false" customHeight="false" outlineLevel="0" collapsed="false">
      <c r="A325" s="3" t="n">
        <v>323</v>
      </c>
      <c r="B325" s="3" t="n">
        <v>42</v>
      </c>
      <c r="C325" s="3" t="s">
        <v>11</v>
      </c>
      <c r="D325" s="3" t="s">
        <v>22</v>
      </c>
      <c r="E325" s="3" t="n">
        <v>37337</v>
      </c>
      <c r="F325" s="3" t="n">
        <v>1</v>
      </c>
      <c r="G325" s="3" t="n">
        <v>1</v>
      </c>
      <c r="H325" s="3" t="n">
        <v>12</v>
      </c>
      <c r="I325" s="3" t="s">
        <v>13</v>
      </c>
      <c r="J325" s="3" t="s">
        <v>19</v>
      </c>
      <c r="K325" s="3" t="n">
        <v>59.43</v>
      </c>
      <c r="L325" s="7" t="str">
        <f aca="false">IF(B325&lt;25,"Gen Z",IF(B325&lt;40,"Millennial",IF(B325&lt;55,"Gen X","Baby Boomer")))</f>
        <v>Gen X</v>
      </c>
      <c r="M325" s="7" t="str">
        <f aca="false">IF(E325&lt;50000,"Low Income",IF(E325&lt;80000,"Middle Income",IF(E325&lt;100000,"Upper Middle","High Income")))</f>
        <v>Low Income</v>
      </c>
      <c r="N325" s="7" t="str">
        <f aca="false">IF(F325&lt;=3,"Poor",IF(F325&lt;=6,"Average",IF(F325&lt;=8,"Good","Excellent")))</f>
        <v>Poor</v>
      </c>
      <c r="O325" s="7" t="str">
        <f aca="false">IF(G325&lt;=3,"Poor",IF(G325&lt;=6,"Average",IF(G325&lt;=8,"Good","Excellent")))</f>
        <v>Poor</v>
      </c>
      <c r="P325" s="7" t="str">
        <f aca="false">IF(H325&lt;=5,"Low Frequency",IF(H325&lt;=10,"Moderate",IF(H325&lt;=15,"High","Very High")))</f>
        <v>High</v>
      </c>
      <c r="Q325" s="7" t="str">
        <f aca="false">IF(K325&gt;=90,"Highly Satisfied",IF(K325&gt;=75,"Satisfied",IF(K325&gt;=60,"Neutral","Dissatisfied")))</f>
        <v>Dissatisfied</v>
      </c>
      <c r="R325" s="7" t="str">
        <f aca="false">UPPER(LEFT(TRIM(J325),1))&amp;LOWER(MID(TRIM(J325),2,100))</f>
        <v>Silver</v>
      </c>
      <c r="S325" s="7" t="str">
        <f aca="false">IF(I325="High","Positive",IF(I325="Medium","Neutral","Negative"))</f>
        <v>Negative</v>
      </c>
      <c r="T325" s="7" t="str">
        <f aca="false">IF(AND(E325&gt;=80000,H325&gt;=15),"Premium",IF(AND(E325&gt;=50000,H325&gt;=10),"Standard","Basic"))</f>
        <v>Basic</v>
      </c>
      <c r="U325" s="7" t="str">
        <f aca="false">IF(AND(F325&gt;=7,G325&gt;=7),"High Quality Experience","Review Needed")</f>
        <v>Review Needed</v>
      </c>
      <c r="V325" s="7" t="str">
        <f aca="false">IF(H325&gt;=10,"Repeat Buyer","Occasional Buyer")</f>
        <v>Repeat Buyer</v>
      </c>
      <c r="W325" s="7" t="str">
        <f aca="false">IF(AND(K325&lt;70,I325="Low"),"At Risk","Stable")</f>
        <v>At Risk</v>
      </c>
      <c r="X325" s="7" t="str">
        <f aca="false">IF(AND(K325&lt;75,I325="Low",J325="Bronze"),"Priority Followup","No Action")</f>
        <v>No Action</v>
      </c>
    </row>
    <row r="326" customFormat="false" ht="15" hidden="false" customHeight="false" outlineLevel="0" collapsed="false">
      <c r="A326" s="2" t="n">
        <v>324</v>
      </c>
      <c r="B326" s="2" t="n">
        <v>52</v>
      </c>
      <c r="C326" s="2" t="s">
        <v>11</v>
      </c>
      <c r="D326" s="2" t="s">
        <v>23</v>
      </c>
      <c r="E326" s="2" t="n">
        <v>48465</v>
      </c>
      <c r="F326" s="2" t="n">
        <v>2</v>
      </c>
      <c r="G326" s="2" t="n">
        <v>6</v>
      </c>
      <c r="H326" s="2" t="n">
        <v>12</v>
      </c>
      <c r="I326" s="2" t="s">
        <v>15</v>
      </c>
      <c r="J326" s="2" t="s">
        <v>19</v>
      </c>
      <c r="K326" s="2" t="n">
        <v>77.09</v>
      </c>
      <c r="L326" s="8" t="str">
        <f aca="false">IF(B326&lt;25,"Gen Z",IF(B326&lt;40,"Millennial",IF(B326&lt;55,"Gen X","Baby Boomer")))</f>
        <v>Gen X</v>
      </c>
      <c r="M326" s="8" t="str">
        <f aca="false">IF(E326&lt;50000,"Low Income",IF(E326&lt;80000,"Middle Income",IF(E326&lt;100000,"Upper Middle","High Income")))</f>
        <v>Low Income</v>
      </c>
      <c r="N326" s="8" t="str">
        <f aca="false">IF(F326&lt;=3,"Poor",IF(F326&lt;=6,"Average",IF(F326&lt;=8,"Good","Excellent")))</f>
        <v>Poor</v>
      </c>
      <c r="O326" s="8" t="str">
        <f aca="false">IF(G326&lt;=3,"Poor",IF(G326&lt;=6,"Average",IF(G326&lt;=8,"Good","Excellent")))</f>
        <v>Average</v>
      </c>
      <c r="P326" s="8" t="str">
        <f aca="false">IF(H326&lt;=5,"Low Frequency",IF(H326&lt;=10,"Moderate",IF(H326&lt;=15,"High","Very High")))</f>
        <v>High</v>
      </c>
      <c r="Q326" s="8" t="str">
        <f aca="false">IF(K326&gt;=90,"Highly Satisfied",IF(K326&gt;=75,"Satisfied",IF(K326&gt;=60,"Neutral","Dissatisfied")))</f>
        <v>Satisfied</v>
      </c>
      <c r="R326" s="8" t="str">
        <f aca="false">UPPER(LEFT(TRIM(J326),1))&amp;LOWER(MID(TRIM(J326),2,100))</f>
        <v>Silver</v>
      </c>
      <c r="S326" s="8" t="str">
        <f aca="false">IF(I326="High","Positive",IF(I326="Medium","Neutral","Negative"))</f>
        <v>Neutral</v>
      </c>
      <c r="T326" s="8" t="str">
        <f aca="false">IF(AND(E326&gt;=80000,H326&gt;=15),"Premium",IF(AND(E326&gt;=50000,H326&gt;=10),"Standard","Basic"))</f>
        <v>Basic</v>
      </c>
      <c r="U326" s="8" t="str">
        <f aca="false">IF(AND(F326&gt;=7,G326&gt;=7),"High Quality Experience","Review Needed")</f>
        <v>Review Needed</v>
      </c>
      <c r="V326" s="8" t="str">
        <f aca="false">IF(H326&gt;=10,"Repeat Buyer","Occasional Buyer")</f>
        <v>Repeat Buyer</v>
      </c>
      <c r="W326" s="8" t="str">
        <f aca="false">IF(AND(K326&lt;70,I326="Low"),"At Risk","Stable")</f>
        <v>Stable</v>
      </c>
      <c r="X326" s="8" t="str">
        <f aca="false">IF(AND(K326&lt;75,I326="Low",J326="Bronze"),"Priority Followup","No Action")</f>
        <v>No Action</v>
      </c>
    </row>
    <row r="327" customFormat="false" ht="15" hidden="false" customHeight="false" outlineLevel="0" collapsed="false">
      <c r="A327" s="3" t="n">
        <v>325</v>
      </c>
      <c r="B327" s="3" t="n">
        <v>42</v>
      </c>
      <c r="C327" s="3" t="s">
        <v>17</v>
      </c>
      <c r="D327" s="3" t="s">
        <v>18</v>
      </c>
      <c r="E327" s="3" t="n">
        <v>56777</v>
      </c>
      <c r="F327" s="3" t="n">
        <v>8</v>
      </c>
      <c r="G327" s="3" t="n">
        <v>4</v>
      </c>
      <c r="H327" s="3" t="n">
        <v>12</v>
      </c>
      <c r="I327" s="3" t="s">
        <v>21</v>
      </c>
      <c r="J327" s="3" t="s">
        <v>19</v>
      </c>
      <c r="K327" s="3" t="n">
        <v>94.41</v>
      </c>
      <c r="L327" s="7" t="str">
        <f aca="false">IF(B327&lt;25,"Gen Z",IF(B327&lt;40,"Millennial",IF(B327&lt;55,"Gen X","Baby Boomer")))</f>
        <v>Gen X</v>
      </c>
      <c r="M327" s="7" t="str">
        <f aca="false">IF(E327&lt;50000,"Low Income",IF(E327&lt;80000,"Middle Income",IF(E327&lt;100000,"Upper Middle","High Income")))</f>
        <v>Middle Income</v>
      </c>
      <c r="N327" s="7" t="str">
        <f aca="false">IF(F327&lt;=3,"Poor",IF(F327&lt;=6,"Average",IF(F327&lt;=8,"Good","Excellent")))</f>
        <v>Good</v>
      </c>
      <c r="O327" s="7" t="str">
        <f aca="false">IF(G327&lt;=3,"Poor",IF(G327&lt;=6,"Average",IF(G327&lt;=8,"Good","Excellent")))</f>
        <v>Average</v>
      </c>
      <c r="P327" s="7" t="str">
        <f aca="false">IF(H327&lt;=5,"Low Frequency",IF(H327&lt;=10,"Moderate",IF(H327&lt;=15,"High","Very High")))</f>
        <v>High</v>
      </c>
      <c r="Q327" s="7" t="str">
        <f aca="false">IF(K327&gt;=90,"Highly Satisfied",IF(K327&gt;=75,"Satisfied",IF(K327&gt;=60,"Neutral","Dissatisfied")))</f>
        <v>Highly Satisfied</v>
      </c>
      <c r="R327" s="7" t="str">
        <f aca="false">UPPER(LEFT(TRIM(J327),1))&amp;LOWER(MID(TRIM(J327),2,100))</f>
        <v>Silver</v>
      </c>
      <c r="S327" s="7" t="str">
        <f aca="false">IF(I327="High","Positive",IF(I327="Medium","Neutral","Negative"))</f>
        <v>Positive</v>
      </c>
      <c r="T327" s="7" t="str">
        <f aca="false">IF(AND(E327&gt;=80000,H327&gt;=15),"Premium",IF(AND(E327&gt;=50000,H327&gt;=10),"Standard","Basic"))</f>
        <v>Standard</v>
      </c>
      <c r="U327" s="7" t="str">
        <f aca="false">IF(AND(F327&gt;=7,G327&gt;=7),"High Quality Experience","Review Needed")</f>
        <v>Review Needed</v>
      </c>
      <c r="V327" s="7" t="str">
        <f aca="false">IF(H327&gt;=10,"Repeat Buyer","Occasional Buyer")</f>
        <v>Repeat Buyer</v>
      </c>
      <c r="W327" s="7" t="str">
        <f aca="false">IF(AND(K327&lt;70,I327="Low"),"At Risk","Stable")</f>
        <v>Stable</v>
      </c>
      <c r="X327" s="7" t="str">
        <f aca="false">IF(AND(K327&lt;75,I327="Low",J327="Bronze"),"Priority Followup","No Action")</f>
        <v>No Action</v>
      </c>
    </row>
    <row r="328" customFormat="false" ht="15" hidden="false" customHeight="false" outlineLevel="0" collapsed="false">
      <c r="A328" s="2" t="n">
        <v>326</v>
      </c>
      <c r="B328" s="2" t="n">
        <v>46</v>
      </c>
      <c r="C328" s="2" t="s">
        <v>11</v>
      </c>
      <c r="D328" s="2" t="s">
        <v>22</v>
      </c>
      <c r="E328" s="2" t="n">
        <v>72113</v>
      </c>
      <c r="F328" s="2" t="n">
        <v>6</v>
      </c>
      <c r="G328" s="2" t="n">
        <v>8</v>
      </c>
      <c r="H328" s="2" t="n">
        <v>2</v>
      </c>
      <c r="I328" s="2" t="s">
        <v>21</v>
      </c>
      <c r="J328" s="2" t="s">
        <v>19</v>
      </c>
      <c r="K328" s="2" t="n">
        <v>100</v>
      </c>
      <c r="L328" s="8" t="str">
        <f aca="false">IF(B328&lt;25,"Gen Z",IF(B328&lt;40,"Millennial",IF(B328&lt;55,"Gen X","Baby Boomer")))</f>
        <v>Gen X</v>
      </c>
      <c r="M328" s="8" t="str">
        <f aca="false">IF(E328&lt;50000,"Low Income",IF(E328&lt;80000,"Middle Income",IF(E328&lt;100000,"Upper Middle","High Income")))</f>
        <v>Middle Income</v>
      </c>
      <c r="N328" s="8" t="str">
        <f aca="false">IF(F328&lt;=3,"Poor",IF(F328&lt;=6,"Average",IF(F328&lt;=8,"Good","Excellent")))</f>
        <v>Average</v>
      </c>
      <c r="O328" s="8" t="str">
        <f aca="false">IF(G328&lt;=3,"Poor",IF(G328&lt;=6,"Average",IF(G328&lt;=8,"Good","Excellent")))</f>
        <v>Good</v>
      </c>
      <c r="P328" s="8" t="str">
        <f aca="false">IF(H328&lt;=5,"Low Frequency",IF(H328&lt;=10,"Moderate",IF(H328&lt;=15,"High","Very High")))</f>
        <v>Low Frequency</v>
      </c>
      <c r="Q328" s="8" t="str">
        <f aca="false">IF(K328&gt;=90,"Highly Satisfied",IF(K328&gt;=75,"Satisfied",IF(K328&gt;=60,"Neutral","Dissatisfied")))</f>
        <v>Highly Satisfied</v>
      </c>
      <c r="R328" s="8" t="str">
        <f aca="false">UPPER(LEFT(TRIM(J328),1))&amp;LOWER(MID(TRIM(J328),2,100))</f>
        <v>Silver</v>
      </c>
      <c r="S328" s="8" t="str">
        <f aca="false">IF(I328="High","Positive",IF(I328="Medium","Neutral","Negative"))</f>
        <v>Positive</v>
      </c>
      <c r="T328" s="8" t="str">
        <f aca="false">IF(AND(E328&gt;=80000,H328&gt;=15),"Premium",IF(AND(E328&gt;=50000,H328&gt;=10),"Standard","Basic"))</f>
        <v>Basic</v>
      </c>
      <c r="U328" s="8" t="str">
        <f aca="false">IF(AND(F328&gt;=7,G328&gt;=7),"High Quality Experience","Review Needed")</f>
        <v>Review Needed</v>
      </c>
      <c r="V328" s="8" t="str">
        <f aca="false">IF(H328&gt;=10,"Repeat Buyer","Occasional Buyer")</f>
        <v>Occasional Buyer</v>
      </c>
      <c r="W328" s="8" t="str">
        <f aca="false">IF(AND(K328&lt;70,I328="Low"),"At Risk","Stable")</f>
        <v>Stable</v>
      </c>
      <c r="X328" s="8" t="str">
        <f aca="false">IF(AND(K328&lt;75,I328="Low",J328="Bronze"),"Priority Followup","No Action")</f>
        <v>No Action</v>
      </c>
    </row>
    <row r="329" customFormat="false" ht="15" hidden="false" customHeight="false" outlineLevel="0" collapsed="false">
      <c r="A329" s="3" t="n">
        <v>327</v>
      </c>
      <c r="B329" s="3" t="n">
        <v>35</v>
      </c>
      <c r="C329" s="3" t="s">
        <v>11</v>
      </c>
      <c r="D329" s="3" t="s">
        <v>12</v>
      </c>
      <c r="E329" s="3" t="n">
        <v>36856</v>
      </c>
      <c r="F329" s="3" t="n">
        <v>8</v>
      </c>
      <c r="G329" s="3" t="n">
        <v>5</v>
      </c>
      <c r="H329" s="3" t="n">
        <v>20</v>
      </c>
      <c r="I329" s="3" t="s">
        <v>21</v>
      </c>
      <c r="J329" s="3" t="s">
        <v>14</v>
      </c>
      <c r="K329" s="3" t="n">
        <v>100</v>
      </c>
      <c r="L329" s="7" t="str">
        <f aca="false">IF(B329&lt;25,"Gen Z",IF(B329&lt;40,"Millennial",IF(B329&lt;55,"Gen X","Baby Boomer")))</f>
        <v>Millennial</v>
      </c>
      <c r="M329" s="7" t="str">
        <f aca="false">IF(E329&lt;50000,"Low Income",IF(E329&lt;80000,"Middle Income",IF(E329&lt;100000,"Upper Middle","High Income")))</f>
        <v>Low Income</v>
      </c>
      <c r="N329" s="7" t="str">
        <f aca="false">IF(F329&lt;=3,"Poor",IF(F329&lt;=6,"Average",IF(F329&lt;=8,"Good","Excellent")))</f>
        <v>Good</v>
      </c>
      <c r="O329" s="7" t="str">
        <f aca="false">IF(G329&lt;=3,"Poor",IF(G329&lt;=6,"Average",IF(G329&lt;=8,"Good","Excellent")))</f>
        <v>Average</v>
      </c>
      <c r="P329" s="7" t="str">
        <f aca="false">IF(H329&lt;=5,"Low Frequency",IF(H329&lt;=10,"Moderate",IF(H329&lt;=15,"High","Very High")))</f>
        <v>Very High</v>
      </c>
      <c r="Q329" s="7" t="str">
        <f aca="false">IF(K329&gt;=90,"Highly Satisfied",IF(K329&gt;=75,"Satisfied",IF(K329&gt;=60,"Neutral","Dissatisfied")))</f>
        <v>Highly Satisfied</v>
      </c>
      <c r="R329" s="7" t="str">
        <f aca="false">UPPER(LEFT(TRIM(J329),1))&amp;LOWER(MID(TRIM(J329),2,100))</f>
        <v>Bronze</v>
      </c>
      <c r="S329" s="7" t="str">
        <f aca="false">IF(I329="High","Positive",IF(I329="Medium","Neutral","Negative"))</f>
        <v>Positive</v>
      </c>
      <c r="T329" s="7" t="str">
        <f aca="false">IF(AND(E329&gt;=80000,H329&gt;=15),"Premium",IF(AND(E329&gt;=50000,H329&gt;=10),"Standard","Basic"))</f>
        <v>Basic</v>
      </c>
      <c r="U329" s="7" t="str">
        <f aca="false">IF(AND(F329&gt;=7,G329&gt;=7),"High Quality Experience","Review Needed")</f>
        <v>Review Needed</v>
      </c>
      <c r="V329" s="7" t="str">
        <f aca="false">IF(H329&gt;=10,"Repeat Buyer","Occasional Buyer")</f>
        <v>Repeat Buyer</v>
      </c>
      <c r="W329" s="7" t="str">
        <f aca="false">IF(AND(K329&lt;70,I329="Low"),"At Risk","Stable")</f>
        <v>Stable</v>
      </c>
      <c r="X329" s="7" t="str">
        <f aca="false">IF(AND(K329&lt;75,I329="Low",J329="Bronze"),"Priority Followup","No Action")</f>
        <v>No Action</v>
      </c>
    </row>
    <row r="330" customFormat="false" ht="15" hidden="false" customHeight="false" outlineLevel="0" collapsed="false">
      <c r="A330" s="2" t="n">
        <v>328</v>
      </c>
      <c r="B330" s="2" t="n">
        <v>63</v>
      </c>
      <c r="C330" s="2" t="s">
        <v>11</v>
      </c>
      <c r="D330" s="2" t="s">
        <v>20</v>
      </c>
      <c r="E330" s="2" t="n">
        <v>89381</v>
      </c>
      <c r="F330" s="2" t="n">
        <v>7</v>
      </c>
      <c r="G330" s="2" t="n">
        <v>7</v>
      </c>
      <c r="H330" s="2" t="n">
        <v>6</v>
      </c>
      <c r="I330" s="2" t="s">
        <v>15</v>
      </c>
      <c r="J330" s="2" t="s">
        <v>19</v>
      </c>
      <c r="K330" s="2" t="n">
        <v>100</v>
      </c>
      <c r="L330" s="8" t="str">
        <f aca="false">IF(B330&lt;25,"Gen Z",IF(B330&lt;40,"Millennial",IF(B330&lt;55,"Gen X","Baby Boomer")))</f>
        <v>Baby Boomer</v>
      </c>
      <c r="M330" s="8" t="str">
        <f aca="false">IF(E330&lt;50000,"Low Income",IF(E330&lt;80000,"Middle Income",IF(E330&lt;100000,"Upper Middle","High Income")))</f>
        <v>Upper Middle</v>
      </c>
      <c r="N330" s="8" t="str">
        <f aca="false">IF(F330&lt;=3,"Poor",IF(F330&lt;=6,"Average",IF(F330&lt;=8,"Good","Excellent")))</f>
        <v>Good</v>
      </c>
      <c r="O330" s="8" t="str">
        <f aca="false">IF(G330&lt;=3,"Poor",IF(G330&lt;=6,"Average",IF(G330&lt;=8,"Good","Excellent")))</f>
        <v>Good</v>
      </c>
      <c r="P330" s="8" t="str">
        <f aca="false">IF(H330&lt;=5,"Low Frequency",IF(H330&lt;=10,"Moderate",IF(H330&lt;=15,"High","Very High")))</f>
        <v>Moderate</v>
      </c>
      <c r="Q330" s="8" t="str">
        <f aca="false">IF(K330&gt;=90,"Highly Satisfied",IF(K330&gt;=75,"Satisfied",IF(K330&gt;=60,"Neutral","Dissatisfied")))</f>
        <v>Highly Satisfied</v>
      </c>
      <c r="R330" s="8" t="str">
        <f aca="false">UPPER(LEFT(TRIM(J330),1))&amp;LOWER(MID(TRIM(J330),2,100))</f>
        <v>Silver</v>
      </c>
      <c r="S330" s="8" t="str">
        <f aca="false">IF(I330="High","Positive",IF(I330="Medium","Neutral","Negative"))</f>
        <v>Neutral</v>
      </c>
      <c r="T330" s="8" t="str">
        <f aca="false">IF(AND(E330&gt;=80000,H330&gt;=15),"Premium",IF(AND(E330&gt;=50000,H330&gt;=10),"Standard","Basic"))</f>
        <v>Basic</v>
      </c>
      <c r="U330" s="8" t="str">
        <f aca="false">IF(AND(F330&gt;=7,G330&gt;=7),"High Quality Experience","Review Needed")</f>
        <v>High Quality Experience</v>
      </c>
      <c r="V330" s="8" t="str">
        <f aca="false">IF(H330&gt;=10,"Repeat Buyer","Occasional Buyer")</f>
        <v>Occasional Buyer</v>
      </c>
      <c r="W330" s="8" t="str">
        <f aca="false">IF(AND(K330&lt;70,I330="Low"),"At Risk","Stable")</f>
        <v>Stable</v>
      </c>
      <c r="X330" s="8" t="str">
        <f aca="false">IF(AND(K330&lt;75,I330="Low",J330="Bronze"),"Priority Followup","No Action")</f>
        <v>No Action</v>
      </c>
    </row>
    <row r="331" customFormat="false" ht="15" hidden="false" customHeight="false" outlineLevel="0" collapsed="false">
      <c r="A331" s="3" t="n">
        <v>329</v>
      </c>
      <c r="B331" s="3" t="n">
        <v>35</v>
      </c>
      <c r="C331" s="3" t="s">
        <v>17</v>
      </c>
      <c r="D331" s="3" t="s">
        <v>23</v>
      </c>
      <c r="E331" s="3" t="n">
        <v>108380</v>
      </c>
      <c r="F331" s="3" t="n">
        <v>6</v>
      </c>
      <c r="G331" s="3" t="n">
        <v>6</v>
      </c>
      <c r="H331" s="3" t="n">
        <v>16</v>
      </c>
      <c r="I331" s="3" t="s">
        <v>13</v>
      </c>
      <c r="J331" s="3" t="s">
        <v>16</v>
      </c>
      <c r="K331" s="3" t="n">
        <v>91.32</v>
      </c>
      <c r="L331" s="7" t="str">
        <f aca="false">IF(B331&lt;25,"Gen Z",IF(B331&lt;40,"Millennial",IF(B331&lt;55,"Gen X","Baby Boomer")))</f>
        <v>Millennial</v>
      </c>
      <c r="M331" s="7" t="str">
        <f aca="false">IF(E331&lt;50000,"Low Income",IF(E331&lt;80000,"Middle Income",IF(E331&lt;100000,"Upper Middle","High Income")))</f>
        <v>High Income</v>
      </c>
      <c r="N331" s="7" t="str">
        <f aca="false">IF(F331&lt;=3,"Poor",IF(F331&lt;=6,"Average",IF(F331&lt;=8,"Good","Excellent")))</f>
        <v>Average</v>
      </c>
      <c r="O331" s="7" t="str">
        <f aca="false">IF(G331&lt;=3,"Poor",IF(G331&lt;=6,"Average",IF(G331&lt;=8,"Good","Excellent")))</f>
        <v>Average</v>
      </c>
      <c r="P331" s="7" t="str">
        <f aca="false">IF(H331&lt;=5,"Low Frequency",IF(H331&lt;=10,"Moderate",IF(H331&lt;=15,"High","Very High")))</f>
        <v>Very High</v>
      </c>
      <c r="Q331" s="7" t="str">
        <f aca="false">IF(K331&gt;=90,"Highly Satisfied",IF(K331&gt;=75,"Satisfied",IF(K331&gt;=60,"Neutral","Dissatisfied")))</f>
        <v>Highly Satisfied</v>
      </c>
      <c r="R331" s="7" t="str">
        <f aca="false">UPPER(LEFT(TRIM(J331),1))&amp;LOWER(MID(TRIM(J331),2,100))</f>
        <v>Gold</v>
      </c>
      <c r="S331" s="7" t="str">
        <f aca="false">IF(I331="High","Positive",IF(I331="Medium","Neutral","Negative"))</f>
        <v>Negative</v>
      </c>
      <c r="T331" s="7" t="str">
        <f aca="false">IF(AND(E331&gt;=80000,H331&gt;=15),"Premium",IF(AND(E331&gt;=50000,H331&gt;=10),"Standard","Basic"))</f>
        <v>Premium</v>
      </c>
      <c r="U331" s="7" t="str">
        <f aca="false">IF(AND(F331&gt;=7,G331&gt;=7),"High Quality Experience","Review Needed")</f>
        <v>Review Needed</v>
      </c>
      <c r="V331" s="7" t="str">
        <f aca="false">IF(H331&gt;=10,"Repeat Buyer","Occasional Buyer")</f>
        <v>Repeat Buyer</v>
      </c>
      <c r="W331" s="7" t="str">
        <f aca="false">IF(AND(K331&lt;70,I331="Low"),"At Risk","Stable")</f>
        <v>Stable</v>
      </c>
      <c r="X331" s="7" t="str">
        <f aca="false">IF(AND(K331&lt;75,I331="Low",J331="Bronze"),"Priority Followup","No Action")</f>
        <v>No Action</v>
      </c>
    </row>
    <row r="332" customFormat="false" ht="15" hidden="false" customHeight="false" outlineLevel="0" collapsed="false">
      <c r="A332" s="2" t="n">
        <v>330</v>
      </c>
      <c r="B332" s="2" t="n">
        <v>19</v>
      </c>
      <c r="C332" s="2" t="s">
        <v>17</v>
      </c>
      <c r="D332" s="2" t="s">
        <v>22</v>
      </c>
      <c r="E332" s="2" t="n">
        <v>103732</v>
      </c>
      <c r="F332" s="2" t="n">
        <v>3</v>
      </c>
      <c r="G332" s="2" t="n">
        <v>6</v>
      </c>
      <c r="H332" s="2" t="n">
        <v>13</v>
      </c>
      <c r="I332" s="2" t="s">
        <v>15</v>
      </c>
      <c r="J332" s="2" t="s">
        <v>19</v>
      </c>
      <c r="K332" s="2" t="n">
        <v>65.79</v>
      </c>
      <c r="L332" s="8" t="str">
        <f aca="false">IF(B332&lt;25,"Gen Z",IF(B332&lt;40,"Millennial",IF(B332&lt;55,"Gen X","Baby Boomer")))</f>
        <v>Gen Z</v>
      </c>
      <c r="M332" s="8" t="str">
        <f aca="false">IF(E332&lt;50000,"Low Income",IF(E332&lt;80000,"Middle Income",IF(E332&lt;100000,"Upper Middle","High Income")))</f>
        <v>High Income</v>
      </c>
      <c r="N332" s="8" t="str">
        <f aca="false">IF(F332&lt;=3,"Poor",IF(F332&lt;=6,"Average",IF(F332&lt;=8,"Good","Excellent")))</f>
        <v>Poor</v>
      </c>
      <c r="O332" s="8" t="str">
        <f aca="false">IF(G332&lt;=3,"Poor",IF(G332&lt;=6,"Average",IF(G332&lt;=8,"Good","Excellent")))</f>
        <v>Average</v>
      </c>
      <c r="P332" s="8" t="str">
        <f aca="false">IF(H332&lt;=5,"Low Frequency",IF(H332&lt;=10,"Moderate",IF(H332&lt;=15,"High","Very High")))</f>
        <v>High</v>
      </c>
      <c r="Q332" s="8" t="str">
        <f aca="false">IF(K332&gt;=90,"Highly Satisfied",IF(K332&gt;=75,"Satisfied",IF(K332&gt;=60,"Neutral","Dissatisfied")))</f>
        <v>Neutral</v>
      </c>
      <c r="R332" s="8" t="str">
        <f aca="false">UPPER(LEFT(TRIM(J332),1))&amp;LOWER(MID(TRIM(J332),2,100))</f>
        <v>Silver</v>
      </c>
      <c r="S332" s="8" t="str">
        <f aca="false">IF(I332="High","Positive",IF(I332="Medium","Neutral","Negative"))</f>
        <v>Neutral</v>
      </c>
      <c r="T332" s="8" t="str">
        <f aca="false">IF(AND(E332&gt;=80000,H332&gt;=15),"Premium",IF(AND(E332&gt;=50000,H332&gt;=10),"Standard","Basic"))</f>
        <v>Standard</v>
      </c>
      <c r="U332" s="8" t="str">
        <f aca="false">IF(AND(F332&gt;=7,G332&gt;=7),"High Quality Experience","Review Needed")</f>
        <v>Review Needed</v>
      </c>
      <c r="V332" s="8" t="str">
        <f aca="false">IF(H332&gt;=10,"Repeat Buyer","Occasional Buyer")</f>
        <v>Repeat Buyer</v>
      </c>
      <c r="W332" s="8" t="str">
        <f aca="false">IF(AND(K332&lt;70,I332="Low"),"At Risk","Stable")</f>
        <v>Stable</v>
      </c>
      <c r="X332" s="8" t="str">
        <f aca="false">IF(AND(K332&lt;75,I332="Low",J332="Bronze"),"Priority Followup","No Action")</f>
        <v>No Action</v>
      </c>
    </row>
    <row r="333" customFormat="false" ht="15" hidden="false" customHeight="false" outlineLevel="0" collapsed="false">
      <c r="A333" s="3" t="n">
        <v>331</v>
      </c>
      <c r="B333" s="3" t="n">
        <v>52</v>
      </c>
      <c r="C333" s="3" t="s">
        <v>11</v>
      </c>
      <c r="D333" s="3" t="s">
        <v>22</v>
      </c>
      <c r="E333" s="3" t="n">
        <v>36169</v>
      </c>
      <c r="F333" s="3" t="n">
        <v>5</v>
      </c>
      <c r="G333" s="3" t="n">
        <v>10</v>
      </c>
      <c r="H333" s="3" t="n">
        <v>10</v>
      </c>
      <c r="I333" s="3" t="s">
        <v>21</v>
      </c>
      <c r="J333" s="3" t="s">
        <v>14</v>
      </c>
      <c r="K333" s="3" t="n">
        <v>100</v>
      </c>
      <c r="L333" s="7" t="str">
        <f aca="false">IF(B333&lt;25,"Gen Z",IF(B333&lt;40,"Millennial",IF(B333&lt;55,"Gen X","Baby Boomer")))</f>
        <v>Gen X</v>
      </c>
      <c r="M333" s="7" t="str">
        <f aca="false">IF(E333&lt;50000,"Low Income",IF(E333&lt;80000,"Middle Income",IF(E333&lt;100000,"Upper Middle","High Income")))</f>
        <v>Low Income</v>
      </c>
      <c r="N333" s="7" t="str">
        <f aca="false">IF(F333&lt;=3,"Poor",IF(F333&lt;=6,"Average",IF(F333&lt;=8,"Good","Excellent")))</f>
        <v>Average</v>
      </c>
      <c r="O333" s="7" t="str">
        <f aca="false">IF(G333&lt;=3,"Poor",IF(G333&lt;=6,"Average",IF(G333&lt;=8,"Good","Excellent")))</f>
        <v>Excellent</v>
      </c>
      <c r="P333" s="7" t="str">
        <f aca="false">IF(H333&lt;=5,"Low Frequency",IF(H333&lt;=10,"Moderate",IF(H333&lt;=15,"High","Very High")))</f>
        <v>Moderate</v>
      </c>
      <c r="Q333" s="7" t="str">
        <f aca="false">IF(K333&gt;=90,"Highly Satisfied",IF(K333&gt;=75,"Satisfied",IF(K333&gt;=60,"Neutral","Dissatisfied")))</f>
        <v>Highly Satisfied</v>
      </c>
      <c r="R333" s="7" t="str">
        <f aca="false">UPPER(LEFT(TRIM(J333),1))&amp;LOWER(MID(TRIM(J333),2,100))</f>
        <v>Bronze</v>
      </c>
      <c r="S333" s="7" t="str">
        <f aca="false">IF(I333="High","Positive",IF(I333="Medium","Neutral","Negative"))</f>
        <v>Positive</v>
      </c>
      <c r="T333" s="7" t="str">
        <f aca="false">IF(AND(E333&gt;=80000,H333&gt;=15),"Premium",IF(AND(E333&gt;=50000,H333&gt;=10),"Standard","Basic"))</f>
        <v>Basic</v>
      </c>
      <c r="U333" s="7" t="str">
        <f aca="false">IF(AND(F333&gt;=7,G333&gt;=7),"High Quality Experience","Review Needed")</f>
        <v>Review Needed</v>
      </c>
      <c r="V333" s="7" t="str">
        <f aca="false">IF(H333&gt;=10,"Repeat Buyer","Occasional Buyer")</f>
        <v>Repeat Buyer</v>
      </c>
      <c r="W333" s="7" t="str">
        <f aca="false">IF(AND(K333&lt;70,I333="Low"),"At Risk","Stable")</f>
        <v>Stable</v>
      </c>
      <c r="X333" s="7" t="str">
        <f aca="false">IF(AND(K333&lt;75,I333="Low",J333="Bronze"),"Priority Followup","No Action")</f>
        <v>No Action</v>
      </c>
    </row>
    <row r="334" customFormat="false" ht="15" hidden="false" customHeight="false" outlineLevel="0" collapsed="false">
      <c r="A334" s="2" t="n">
        <v>332</v>
      </c>
      <c r="B334" s="2" t="n">
        <v>33</v>
      </c>
      <c r="C334" s="2" t="s">
        <v>11</v>
      </c>
      <c r="D334" s="2" t="s">
        <v>22</v>
      </c>
      <c r="E334" s="2" t="n">
        <v>102179</v>
      </c>
      <c r="F334" s="2" t="n">
        <v>7</v>
      </c>
      <c r="G334" s="2" t="n">
        <v>8</v>
      </c>
      <c r="H334" s="2" t="n">
        <v>5</v>
      </c>
      <c r="I334" s="2" t="s">
        <v>13</v>
      </c>
      <c r="J334" s="2" t="s">
        <v>19</v>
      </c>
      <c r="K334" s="2" t="n">
        <v>100</v>
      </c>
      <c r="L334" s="8" t="str">
        <f aca="false">IF(B334&lt;25,"Gen Z",IF(B334&lt;40,"Millennial",IF(B334&lt;55,"Gen X","Baby Boomer")))</f>
        <v>Millennial</v>
      </c>
      <c r="M334" s="8" t="str">
        <f aca="false">IF(E334&lt;50000,"Low Income",IF(E334&lt;80000,"Middle Income",IF(E334&lt;100000,"Upper Middle","High Income")))</f>
        <v>High Income</v>
      </c>
      <c r="N334" s="8" t="str">
        <f aca="false">IF(F334&lt;=3,"Poor",IF(F334&lt;=6,"Average",IF(F334&lt;=8,"Good","Excellent")))</f>
        <v>Good</v>
      </c>
      <c r="O334" s="8" t="str">
        <f aca="false">IF(G334&lt;=3,"Poor",IF(G334&lt;=6,"Average",IF(G334&lt;=8,"Good","Excellent")))</f>
        <v>Good</v>
      </c>
      <c r="P334" s="8" t="str">
        <f aca="false">IF(H334&lt;=5,"Low Frequency",IF(H334&lt;=10,"Moderate",IF(H334&lt;=15,"High","Very High")))</f>
        <v>Low Frequency</v>
      </c>
      <c r="Q334" s="8" t="str">
        <f aca="false">IF(K334&gt;=90,"Highly Satisfied",IF(K334&gt;=75,"Satisfied",IF(K334&gt;=60,"Neutral","Dissatisfied")))</f>
        <v>Highly Satisfied</v>
      </c>
      <c r="R334" s="8" t="str">
        <f aca="false">UPPER(LEFT(TRIM(J334),1))&amp;LOWER(MID(TRIM(J334),2,100))</f>
        <v>Silver</v>
      </c>
      <c r="S334" s="8" t="str">
        <f aca="false">IF(I334="High","Positive",IF(I334="Medium","Neutral","Negative"))</f>
        <v>Negative</v>
      </c>
      <c r="T334" s="8" t="str">
        <f aca="false">IF(AND(E334&gt;=80000,H334&gt;=15),"Premium",IF(AND(E334&gt;=50000,H334&gt;=10),"Standard","Basic"))</f>
        <v>Basic</v>
      </c>
      <c r="U334" s="8" t="str">
        <f aca="false">IF(AND(F334&gt;=7,G334&gt;=7),"High Quality Experience","Review Needed")</f>
        <v>High Quality Experience</v>
      </c>
      <c r="V334" s="8" t="str">
        <f aca="false">IF(H334&gt;=10,"Repeat Buyer","Occasional Buyer")</f>
        <v>Occasional Buyer</v>
      </c>
      <c r="W334" s="8" t="str">
        <f aca="false">IF(AND(K334&lt;70,I334="Low"),"At Risk","Stable")</f>
        <v>Stable</v>
      </c>
      <c r="X334" s="8" t="str">
        <f aca="false">IF(AND(K334&lt;75,I334="Low",J334="Bronze"),"Priority Followup","No Action")</f>
        <v>No Action</v>
      </c>
    </row>
    <row r="335" customFormat="false" ht="15" hidden="false" customHeight="false" outlineLevel="0" collapsed="false">
      <c r="A335" s="3" t="n">
        <v>333</v>
      </c>
      <c r="B335" s="3" t="n">
        <v>58</v>
      </c>
      <c r="C335" s="3" t="s">
        <v>17</v>
      </c>
      <c r="D335" s="3" t="s">
        <v>18</v>
      </c>
      <c r="E335" s="3" t="n">
        <v>36888</v>
      </c>
      <c r="F335" s="3" t="n">
        <v>4</v>
      </c>
      <c r="G335" s="3" t="n">
        <v>2</v>
      </c>
      <c r="H335" s="3" t="n">
        <v>17</v>
      </c>
      <c r="I335" s="3" t="s">
        <v>21</v>
      </c>
      <c r="J335" s="3" t="s">
        <v>16</v>
      </c>
      <c r="K335" s="3" t="n">
        <v>66.07</v>
      </c>
      <c r="L335" s="7" t="str">
        <f aca="false">IF(B335&lt;25,"Gen Z",IF(B335&lt;40,"Millennial",IF(B335&lt;55,"Gen X","Baby Boomer")))</f>
        <v>Baby Boomer</v>
      </c>
      <c r="M335" s="7" t="str">
        <f aca="false">IF(E335&lt;50000,"Low Income",IF(E335&lt;80000,"Middle Income",IF(E335&lt;100000,"Upper Middle","High Income")))</f>
        <v>Low Income</v>
      </c>
      <c r="N335" s="7" t="str">
        <f aca="false">IF(F335&lt;=3,"Poor",IF(F335&lt;=6,"Average",IF(F335&lt;=8,"Good","Excellent")))</f>
        <v>Average</v>
      </c>
      <c r="O335" s="7" t="str">
        <f aca="false">IF(G335&lt;=3,"Poor",IF(G335&lt;=6,"Average",IF(G335&lt;=8,"Good","Excellent")))</f>
        <v>Poor</v>
      </c>
      <c r="P335" s="7" t="str">
        <f aca="false">IF(H335&lt;=5,"Low Frequency",IF(H335&lt;=10,"Moderate",IF(H335&lt;=15,"High","Very High")))</f>
        <v>Very High</v>
      </c>
      <c r="Q335" s="7" t="str">
        <f aca="false">IF(K335&gt;=90,"Highly Satisfied",IF(K335&gt;=75,"Satisfied",IF(K335&gt;=60,"Neutral","Dissatisfied")))</f>
        <v>Neutral</v>
      </c>
      <c r="R335" s="7" t="str">
        <f aca="false">UPPER(LEFT(TRIM(J335),1))&amp;LOWER(MID(TRIM(J335),2,100))</f>
        <v>Gold</v>
      </c>
      <c r="S335" s="7" t="str">
        <f aca="false">IF(I335="High","Positive",IF(I335="Medium","Neutral","Negative"))</f>
        <v>Positive</v>
      </c>
      <c r="T335" s="7" t="str">
        <f aca="false">IF(AND(E335&gt;=80000,H335&gt;=15),"Premium",IF(AND(E335&gt;=50000,H335&gt;=10),"Standard","Basic"))</f>
        <v>Basic</v>
      </c>
      <c r="U335" s="7" t="str">
        <f aca="false">IF(AND(F335&gt;=7,G335&gt;=7),"High Quality Experience","Review Needed")</f>
        <v>Review Needed</v>
      </c>
      <c r="V335" s="7" t="str">
        <f aca="false">IF(H335&gt;=10,"Repeat Buyer","Occasional Buyer")</f>
        <v>Repeat Buyer</v>
      </c>
      <c r="W335" s="7" t="str">
        <f aca="false">IF(AND(K335&lt;70,I335="Low"),"At Risk","Stable")</f>
        <v>Stable</v>
      </c>
      <c r="X335" s="7" t="str">
        <f aca="false">IF(AND(K335&lt;75,I335="Low",J335="Bronze"),"Priority Followup","No Action")</f>
        <v>No Action</v>
      </c>
    </row>
    <row r="336" customFormat="false" ht="15" hidden="false" customHeight="false" outlineLevel="0" collapsed="false">
      <c r="A336" s="2" t="n">
        <v>334</v>
      </c>
      <c r="B336" s="2" t="n">
        <v>53</v>
      </c>
      <c r="C336" s="2" t="s">
        <v>11</v>
      </c>
      <c r="D336" s="2" t="s">
        <v>23</v>
      </c>
      <c r="E336" s="2" t="n">
        <v>47742</v>
      </c>
      <c r="F336" s="2" t="n">
        <v>6</v>
      </c>
      <c r="G336" s="2" t="n">
        <v>7</v>
      </c>
      <c r="H336" s="2" t="n">
        <v>4</v>
      </c>
      <c r="I336" s="2" t="s">
        <v>13</v>
      </c>
      <c r="J336" s="2" t="s">
        <v>16</v>
      </c>
      <c r="K336" s="2" t="n">
        <v>90.58</v>
      </c>
      <c r="L336" s="8" t="str">
        <f aca="false">IF(B336&lt;25,"Gen Z",IF(B336&lt;40,"Millennial",IF(B336&lt;55,"Gen X","Baby Boomer")))</f>
        <v>Gen X</v>
      </c>
      <c r="M336" s="8" t="str">
        <f aca="false">IF(E336&lt;50000,"Low Income",IF(E336&lt;80000,"Middle Income",IF(E336&lt;100000,"Upper Middle","High Income")))</f>
        <v>Low Income</v>
      </c>
      <c r="N336" s="8" t="str">
        <f aca="false">IF(F336&lt;=3,"Poor",IF(F336&lt;=6,"Average",IF(F336&lt;=8,"Good","Excellent")))</f>
        <v>Average</v>
      </c>
      <c r="O336" s="8" t="str">
        <f aca="false">IF(G336&lt;=3,"Poor",IF(G336&lt;=6,"Average",IF(G336&lt;=8,"Good","Excellent")))</f>
        <v>Good</v>
      </c>
      <c r="P336" s="8" t="str">
        <f aca="false">IF(H336&lt;=5,"Low Frequency",IF(H336&lt;=10,"Moderate",IF(H336&lt;=15,"High","Very High")))</f>
        <v>Low Frequency</v>
      </c>
      <c r="Q336" s="8" t="str">
        <f aca="false">IF(K336&gt;=90,"Highly Satisfied",IF(K336&gt;=75,"Satisfied",IF(K336&gt;=60,"Neutral","Dissatisfied")))</f>
        <v>Highly Satisfied</v>
      </c>
      <c r="R336" s="8" t="str">
        <f aca="false">UPPER(LEFT(TRIM(J336),1))&amp;LOWER(MID(TRIM(J336),2,100))</f>
        <v>Gold</v>
      </c>
      <c r="S336" s="8" t="str">
        <f aca="false">IF(I336="High","Positive",IF(I336="Medium","Neutral","Negative"))</f>
        <v>Negative</v>
      </c>
      <c r="T336" s="8" t="str">
        <f aca="false">IF(AND(E336&gt;=80000,H336&gt;=15),"Premium",IF(AND(E336&gt;=50000,H336&gt;=10),"Standard","Basic"))</f>
        <v>Basic</v>
      </c>
      <c r="U336" s="8" t="str">
        <f aca="false">IF(AND(F336&gt;=7,G336&gt;=7),"High Quality Experience","Review Needed")</f>
        <v>Review Needed</v>
      </c>
      <c r="V336" s="8" t="str">
        <f aca="false">IF(H336&gt;=10,"Repeat Buyer","Occasional Buyer")</f>
        <v>Occasional Buyer</v>
      </c>
      <c r="W336" s="8" t="str">
        <f aca="false">IF(AND(K336&lt;70,I336="Low"),"At Risk","Stable")</f>
        <v>Stable</v>
      </c>
      <c r="X336" s="8" t="str">
        <f aca="false">IF(AND(K336&lt;75,I336="Low",J336="Bronze"),"Priority Followup","No Action")</f>
        <v>No Action</v>
      </c>
    </row>
    <row r="337" customFormat="false" ht="15" hidden="false" customHeight="false" outlineLevel="0" collapsed="false">
      <c r="A337" s="3" t="n">
        <v>335</v>
      </c>
      <c r="B337" s="3" t="n">
        <v>50</v>
      </c>
      <c r="C337" s="3" t="s">
        <v>11</v>
      </c>
      <c r="D337" s="3" t="s">
        <v>23</v>
      </c>
      <c r="E337" s="3" t="n">
        <v>115400</v>
      </c>
      <c r="F337" s="3" t="n">
        <v>1</v>
      </c>
      <c r="G337" s="3" t="n">
        <v>5</v>
      </c>
      <c r="H337" s="3" t="n">
        <v>15</v>
      </c>
      <c r="I337" s="3" t="s">
        <v>13</v>
      </c>
      <c r="J337" s="3" t="s">
        <v>16</v>
      </c>
      <c r="K337" s="3" t="n">
        <v>81.58</v>
      </c>
      <c r="L337" s="7" t="str">
        <f aca="false">IF(B337&lt;25,"Gen Z",IF(B337&lt;40,"Millennial",IF(B337&lt;55,"Gen X","Baby Boomer")))</f>
        <v>Gen X</v>
      </c>
      <c r="M337" s="7" t="str">
        <f aca="false">IF(E337&lt;50000,"Low Income",IF(E337&lt;80000,"Middle Income",IF(E337&lt;100000,"Upper Middle","High Income")))</f>
        <v>High Income</v>
      </c>
      <c r="N337" s="7" t="str">
        <f aca="false">IF(F337&lt;=3,"Poor",IF(F337&lt;=6,"Average",IF(F337&lt;=8,"Good","Excellent")))</f>
        <v>Poor</v>
      </c>
      <c r="O337" s="7" t="str">
        <f aca="false">IF(G337&lt;=3,"Poor",IF(G337&lt;=6,"Average",IF(G337&lt;=8,"Good","Excellent")))</f>
        <v>Average</v>
      </c>
      <c r="P337" s="7" t="str">
        <f aca="false">IF(H337&lt;=5,"Low Frequency",IF(H337&lt;=10,"Moderate",IF(H337&lt;=15,"High","Very High")))</f>
        <v>High</v>
      </c>
      <c r="Q337" s="7" t="str">
        <f aca="false">IF(K337&gt;=90,"Highly Satisfied",IF(K337&gt;=75,"Satisfied",IF(K337&gt;=60,"Neutral","Dissatisfied")))</f>
        <v>Satisfied</v>
      </c>
      <c r="R337" s="7" t="str">
        <f aca="false">UPPER(LEFT(TRIM(J337),1))&amp;LOWER(MID(TRIM(J337),2,100))</f>
        <v>Gold</v>
      </c>
      <c r="S337" s="7" t="str">
        <f aca="false">IF(I337="High","Positive",IF(I337="Medium","Neutral","Negative"))</f>
        <v>Negative</v>
      </c>
      <c r="T337" s="7" t="str">
        <f aca="false">IF(AND(E337&gt;=80000,H337&gt;=15),"Premium",IF(AND(E337&gt;=50000,H337&gt;=10),"Standard","Basic"))</f>
        <v>Premium</v>
      </c>
      <c r="U337" s="7" t="str">
        <f aca="false">IF(AND(F337&gt;=7,G337&gt;=7),"High Quality Experience","Review Needed")</f>
        <v>Review Needed</v>
      </c>
      <c r="V337" s="7" t="str">
        <f aca="false">IF(H337&gt;=10,"Repeat Buyer","Occasional Buyer")</f>
        <v>Repeat Buyer</v>
      </c>
      <c r="W337" s="7" t="str">
        <f aca="false">IF(AND(K337&lt;70,I337="Low"),"At Risk","Stable")</f>
        <v>Stable</v>
      </c>
      <c r="X337" s="7" t="str">
        <f aca="false">IF(AND(K337&lt;75,I337="Low",J337="Bronze"),"Priority Followup","No Action")</f>
        <v>No Action</v>
      </c>
    </row>
    <row r="338" customFormat="false" ht="15" hidden="false" customHeight="false" outlineLevel="0" collapsed="false">
      <c r="A338" s="2" t="n">
        <v>336</v>
      </c>
      <c r="B338" s="2" t="n">
        <v>21</v>
      </c>
      <c r="C338" s="2" t="s">
        <v>11</v>
      </c>
      <c r="D338" s="2" t="s">
        <v>18</v>
      </c>
      <c r="E338" s="2" t="n">
        <v>64585</v>
      </c>
      <c r="F338" s="2" t="n">
        <v>2</v>
      </c>
      <c r="G338" s="2" t="n">
        <v>3</v>
      </c>
      <c r="H338" s="2" t="n">
        <v>12</v>
      </c>
      <c r="I338" s="2" t="s">
        <v>21</v>
      </c>
      <c r="J338" s="2" t="s">
        <v>16</v>
      </c>
      <c r="K338" s="2" t="n">
        <v>38.84</v>
      </c>
      <c r="L338" s="8" t="str">
        <f aca="false">IF(B338&lt;25,"Gen Z",IF(B338&lt;40,"Millennial",IF(B338&lt;55,"Gen X","Baby Boomer")))</f>
        <v>Gen Z</v>
      </c>
      <c r="M338" s="8" t="str">
        <f aca="false">IF(E338&lt;50000,"Low Income",IF(E338&lt;80000,"Middle Income",IF(E338&lt;100000,"Upper Middle","High Income")))</f>
        <v>Middle Income</v>
      </c>
      <c r="N338" s="8" t="str">
        <f aca="false">IF(F338&lt;=3,"Poor",IF(F338&lt;=6,"Average",IF(F338&lt;=8,"Good","Excellent")))</f>
        <v>Poor</v>
      </c>
      <c r="O338" s="8" t="str">
        <f aca="false">IF(G338&lt;=3,"Poor",IF(G338&lt;=6,"Average",IF(G338&lt;=8,"Good","Excellent")))</f>
        <v>Poor</v>
      </c>
      <c r="P338" s="8" t="str">
        <f aca="false">IF(H338&lt;=5,"Low Frequency",IF(H338&lt;=10,"Moderate",IF(H338&lt;=15,"High","Very High")))</f>
        <v>High</v>
      </c>
      <c r="Q338" s="8" t="str">
        <f aca="false">IF(K338&gt;=90,"Highly Satisfied",IF(K338&gt;=75,"Satisfied",IF(K338&gt;=60,"Neutral","Dissatisfied")))</f>
        <v>Dissatisfied</v>
      </c>
      <c r="R338" s="8" t="str">
        <f aca="false">UPPER(LEFT(TRIM(J338),1))&amp;LOWER(MID(TRIM(J338),2,100))</f>
        <v>Gold</v>
      </c>
      <c r="S338" s="8" t="str">
        <f aca="false">IF(I338="High","Positive",IF(I338="Medium","Neutral","Negative"))</f>
        <v>Positive</v>
      </c>
      <c r="T338" s="8" t="str">
        <f aca="false">IF(AND(E338&gt;=80000,H338&gt;=15),"Premium",IF(AND(E338&gt;=50000,H338&gt;=10),"Standard","Basic"))</f>
        <v>Standard</v>
      </c>
      <c r="U338" s="8" t="str">
        <f aca="false">IF(AND(F338&gt;=7,G338&gt;=7),"High Quality Experience","Review Needed")</f>
        <v>Review Needed</v>
      </c>
      <c r="V338" s="8" t="str">
        <f aca="false">IF(H338&gt;=10,"Repeat Buyer","Occasional Buyer")</f>
        <v>Repeat Buyer</v>
      </c>
      <c r="W338" s="8" t="str">
        <f aca="false">IF(AND(K338&lt;70,I338="Low"),"At Risk","Stable")</f>
        <v>Stable</v>
      </c>
      <c r="X338" s="8" t="str">
        <f aca="false">IF(AND(K338&lt;75,I338="Low",J338="Bronze"),"Priority Followup","No Action")</f>
        <v>No Action</v>
      </c>
    </row>
    <row r="339" customFormat="false" ht="15" hidden="false" customHeight="false" outlineLevel="0" collapsed="false">
      <c r="A339" s="3" t="n">
        <v>337</v>
      </c>
      <c r="B339" s="3" t="n">
        <v>50</v>
      </c>
      <c r="C339" s="3" t="s">
        <v>11</v>
      </c>
      <c r="D339" s="3" t="s">
        <v>18</v>
      </c>
      <c r="E339" s="3" t="n">
        <v>86411</v>
      </c>
      <c r="F339" s="3" t="n">
        <v>8</v>
      </c>
      <c r="G339" s="3" t="n">
        <v>3</v>
      </c>
      <c r="H339" s="3" t="n">
        <v>20</v>
      </c>
      <c r="I339" s="3" t="s">
        <v>13</v>
      </c>
      <c r="J339" s="3" t="s">
        <v>14</v>
      </c>
      <c r="K339" s="3" t="n">
        <v>100</v>
      </c>
      <c r="L339" s="7" t="str">
        <f aca="false">IF(B339&lt;25,"Gen Z",IF(B339&lt;40,"Millennial",IF(B339&lt;55,"Gen X","Baby Boomer")))</f>
        <v>Gen X</v>
      </c>
      <c r="M339" s="7" t="str">
        <f aca="false">IF(E339&lt;50000,"Low Income",IF(E339&lt;80000,"Middle Income",IF(E339&lt;100000,"Upper Middle","High Income")))</f>
        <v>Upper Middle</v>
      </c>
      <c r="N339" s="7" t="str">
        <f aca="false">IF(F339&lt;=3,"Poor",IF(F339&lt;=6,"Average",IF(F339&lt;=8,"Good","Excellent")))</f>
        <v>Good</v>
      </c>
      <c r="O339" s="7" t="str">
        <f aca="false">IF(G339&lt;=3,"Poor",IF(G339&lt;=6,"Average",IF(G339&lt;=8,"Good","Excellent")))</f>
        <v>Poor</v>
      </c>
      <c r="P339" s="7" t="str">
        <f aca="false">IF(H339&lt;=5,"Low Frequency",IF(H339&lt;=10,"Moderate",IF(H339&lt;=15,"High","Very High")))</f>
        <v>Very High</v>
      </c>
      <c r="Q339" s="7" t="str">
        <f aca="false">IF(K339&gt;=90,"Highly Satisfied",IF(K339&gt;=75,"Satisfied",IF(K339&gt;=60,"Neutral","Dissatisfied")))</f>
        <v>Highly Satisfied</v>
      </c>
      <c r="R339" s="7" t="str">
        <f aca="false">UPPER(LEFT(TRIM(J339),1))&amp;LOWER(MID(TRIM(J339),2,100))</f>
        <v>Bronze</v>
      </c>
      <c r="S339" s="7" t="str">
        <f aca="false">IF(I339="High","Positive",IF(I339="Medium","Neutral","Negative"))</f>
        <v>Negative</v>
      </c>
      <c r="T339" s="7" t="str">
        <f aca="false">IF(AND(E339&gt;=80000,H339&gt;=15),"Premium",IF(AND(E339&gt;=50000,H339&gt;=10),"Standard","Basic"))</f>
        <v>Premium</v>
      </c>
      <c r="U339" s="7" t="str">
        <f aca="false">IF(AND(F339&gt;=7,G339&gt;=7),"High Quality Experience","Review Needed")</f>
        <v>Review Needed</v>
      </c>
      <c r="V339" s="7" t="str">
        <f aca="false">IF(H339&gt;=10,"Repeat Buyer","Occasional Buyer")</f>
        <v>Repeat Buyer</v>
      </c>
      <c r="W339" s="7" t="str">
        <f aca="false">IF(AND(K339&lt;70,I339="Low"),"At Risk","Stable")</f>
        <v>Stable</v>
      </c>
      <c r="X339" s="7" t="str">
        <f aca="false">IF(AND(K339&lt;75,I339="Low",J339="Bronze"),"Priority Followup","No Action")</f>
        <v>No Action</v>
      </c>
    </row>
    <row r="340" customFormat="false" ht="15" hidden="false" customHeight="false" outlineLevel="0" collapsed="false">
      <c r="A340" s="2" t="n">
        <v>338</v>
      </c>
      <c r="B340" s="2" t="n">
        <v>31</v>
      </c>
      <c r="C340" s="2" t="s">
        <v>17</v>
      </c>
      <c r="D340" s="2" t="s">
        <v>18</v>
      </c>
      <c r="E340" s="2" t="n">
        <v>112646</v>
      </c>
      <c r="F340" s="2" t="n">
        <v>6</v>
      </c>
      <c r="G340" s="2" t="n">
        <v>5</v>
      </c>
      <c r="H340" s="2" t="n">
        <v>8</v>
      </c>
      <c r="I340" s="2" t="s">
        <v>21</v>
      </c>
      <c r="J340" s="2" t="s">
        <v>19</v>
      </c>
      <c r="K340" s="2" t="n">
        <v>86.84</v>
      </c>
      <c r="L340" s="8" t="str">
        <f aca="false">IF(B340&lt;25,"Gen Z",IF(B340&lt;40,"Millennial",IF(B340&lt;55,"Gen X","Baby Boomer")))</f>
        <v>Millennial</v>
      </c>
      <c r="M340" s="8" t="str">
        <f aca="false">IF(E340&lt;50000,"Low Income",IF(E340&lt;80000,"Middle Income",IF(E340&lt;100000,"Upper Middle","High Income")))</f>
        <v>High Income</v>
      </c>
      <c r="N340" s="8" t="str">
        <f aca="false">IF(F340&lt;=3,"Poor",IF(F340&lt;=6,"Average",IF(F340&lt;=8,"Good","Excellent")))</f>
        <v>Average</v>
      </c>
      <c r="O340" s="8" t="str">
        <f aca="false">IF(G340&lt;=3,"Poor",IF(G340&lt;=6,"Average",IF(G340&lt;=8,"Good","Excellent")))</f>
        <v>Average</v>
      </c>
      <c r="P340" s="8" t="str">
        <f aca="false">IF(H340&lt;=5,"Low Frequency",IF(H340&lt;=10,"Moderate",IF(H340&lt;=15,"High","Very High")))</f>
        <v>Moderate</v>
      </c>
      <c r="Q340" s="8" t="str">
        <f aca="false">IF(K340&gt;=90,"Highly Satisfied",IF(K340&gt;=75,"Satisfied",IF(K340&gt;=60,"Neutral","Dissatisfied")))</f>
        <v>Satisfied</v>
      </c>
      <c r="R340" s="8" t="str">
        <f aca="false">UPPER(LEFT(TRIM(J340),1))&amp;LOWER(MID(TRIM(J340),2,100))</f>
        <v>Silver</v>
      </c>
      <c r="S340" s="8" t="str">
        <f aca="false">IF(I340="High","Positive",IF(I340="Medium","Neutral","Negative"))</f>
        <v>Positive</v>
      </c>
      <c r="T340" s="8" t="str">
        <f aca="false">IF(AND(E340&gt;=80000,H340&gt;=15),"Premium",IF(AND(E340&gt;=50000,H340&gt;=10),"Standard","Basic"))</f>
        <v>Basic</v>
      </c>
      <c r="U340" s="8" t="str">
        <f aca="false">IF(AND(F340&gt;=7,G340&gt;=7),"High Quality Experience","Review Needed")</f>
        <v>Review Needed</v>
      </c>
      <c r="V340" s="8" t="str">
        <f aca="false">IF(H340&gt;=10,"Repeat Buyer","Occasional Buyer")</f>
        <v>Occasional Buyer</v>
      </c>
      <c r="W340" s="8" t="str">
        <f aca="false">IF(AND(K340&lt;70,I340="Low"),"At Risk","Stable")</f>
        <v>Stable</v>
      </c>
      <c r="X340" s="8" t="str">
        <f aca="false">IF(AND(K340&lt;75,I340="Low",J340="Bronze"),"Priority Followup","No Action")</f>
        <v>No Action</v>
      </c>
    </row>
    <row r="341" customFormat="false" ht="15" hidden="false" customHeight="false" outlineLevel="0" collapsed="false">
      <c r="A341" s="3" t="n">
        <v>339</v>
      </c>
      <c r="B341" s="3" t="n">
        <v>38</v>
      </c>
      <c r="C341" s="3" t="s">
        <v>11</v>
      </c>
      <c r="D341" s="3" t="s">
        <v>12</v>
      </c>
      <c r="E341" s="3" t="n">
        <v>31620</v>
      </c>
      <c r="F341" s="3" t="n">
        <v>10</v>
      </c>
      <c r="G341" s="3" t="n">
        <v>2</v>
      </c>
      <c r="H341" s="3" t="n">
        <v>13</v>
      </c>
      <c r="I341" s="3" t="s">
        <v>13</v>
      </c>
      <c r="J341" s="3" t="s">
        <v>19</v>
      </c>
      <c r="K341" s="3" t="n">
        <v>70.93</v>
      </c>
      <c r="L341" s="7" t="str">
        <f aca="false">IF(B341&lt;25,"Gen Z",IF(B341&lt;40,"Millennial",IF(B341&lt;55,"Gen X","Baby Boomer")))</f>
        <v>Millennial</v>
      </c>
      <c r="M341" s="7" t="str">
        <f aca="false">IF(E341&lt;50000,"Low Income",IF(E341&lt;80000,"Middle Income",IF(E341&lt;100000,"Upper Middle","High Income")))</f>
        <v>Low Income</v>
      </c>
      <c r="N341" s="7" t="str">
        <f aca="false">IF(F341&lt;=3,"Poor",IF(F341&lt;=6,"Average",IF(F341&lt;=8,"Good","Excellent")))</f>
        <v>Excellent</v>
      </c>
      <c r="O341" s="7" t="str">
        <f aca="false">IF(G341&lt;=3,"Poor",IF(G341&lt;=6,"Average",IF(G341&lt;=8,"Good","Excellent")))</f>
        <v>Poor</v>
      </c>
      <c r="P341" s="7" t="str">
        <f aca="false">IF(H341&lt;=5,"Low Frequency",IF(H341&lt;=10,"Moderate",IF(H341&lt;=15,"High","Very High")))</f>
        <v>High</v>
      </c>
      <c r="Q341" s="7" t="str">
        <f aca="false">IF(K341&gt;=90,"Highly Satisfied",IF(K341&gt;=75,"Satisfied",IF(K341&gt;=60,"Neutral","Dissatisfied")))</f>
        <v>Neutral</v>
      </c>
      <c r="R341" s="7" t="str">
        <f aca="false">UPPER(LEFT(TRIM(J341),1))&amp;LOWER(MID(TRIM(J341),2,100))</f>
        <v>Silver</v>
      </c>
      <c r="S341" s="7" t="str">
        <f aca="false">IF(I341="High","Positive",IF(I341="Medium","Neutral","Negative"))</f>
        <v>Negative</v>
      </c>
      <c r="T341" s="7" t="str">
        <f aca="false">IF(AND(E341&gt;=80000,H341&gt;=15),"Premium",IF(AND(E341&gt;=50000,H341&gt;=10),"Standard","Basic"))</f>
        <v>Basic</v>
      </c>
      <c r="U341" s="7" t="str">
        <f aca="false">IF(AND(F341&gt;=7,G341&gt;=7),"High Quality Experience","Review Needed")</f>
        <v>Review Needed</v>
      </c>
      <c r="V341" s="7" t="str">
        <f aca="false">IF(H341&gt;=10,"Repeat Buyer","Occasional Buyer")</f>
        <v>Repeat Buyer</v>
      </c>
      <c r="W341" s="7" t="str">
        <f aca="false">IF(AND(K341&lt;70,I341="Low"),"At Risk","Stable")</f>
        <v>Stable</v>
      </c>
      <c r="X341" s="7" t="str">
        <f aca="false">IF(AND(K341&lt;75,I341="Low",J341="Bronze"),"Priority Followup","No Action")</f>
        <v>No Action</v>
      </c>
    </row>
    <row r="342" customFormat="false" ht="15" hidden="false" customHeight="false" outlineLevel="0" collapsed="false">
      <c r="A342" s="2" t="n">
        <v>340</v>
      </c>
      <c r="B342" s="2" t="n">
        <v>65</v>
      </c>
      <c r="C342" s="2" t="s">
        <v>11</v>
      </c>
      <c r="D342" s="2" t="s">
        <v>22</v>
      </c>
      <c r="E342" s="2" t="n">
        <v>78661</v>
      </c>
      <c r="F342" s="2" t="n">
        <v>6</v>
      </c>
      <c r="G342" s="2" t="n">
        <v>7</v>
      </c>
      <c r="H342" s="2" t="n">
        <v>5</v>
      </c>
      <c r="I342" s="2" t="s">
        <v>21</v>
      </c>
      <c r="J342" s="2" t="s">
        <v>16</v>
      </c>
      <c r="K342" s="2" t="n">
        <v>100</v>
      </c>
      <c r="L342" s="8" t="str">
        <f aca="false">IF(B342&lt;25,"Gen Z",IF(B342&lt;40,"Millennial",IF(B342&lt;55,"Gen X","Baby Boomer")))</f>
        <v>Baby Boomer</v>
      </c>
      <c r="M342" s="8" t="str">
        <f aca="false">IF(E342&lt;50000,"Low Income",IF(E342&lt;80000,"Middle Income",IF(E342&lt;100000,"Upper Middle","High Income")))</f>
        <v>Middle Income</v>
      </c>
      <c r="N342" s="8" t="str">
        <f aca="false">IF(F342&lt;=3,"Poor",IF(F342&lt;=6,"Average",IF(F342&lt;=8,"Good","Excellent")))</f>
        <v>Average</v>
      </c>
      <c r="O342" s="8" t="str">
        <f aca="false">IF(G342&lt;=3,"Poor",IF(G342&lt;=6,"Average",IF(G342&lt;=8,"Good","Excellent")))</f>
        <v>Good</v>
      </c>
      <c r="P342" s="8" t="str">
        <f aca="false">IF(H342&lt;=5,"Low Frequency",IF(H342&lt;=10,"Moderate",IF(H342&lt;=15,"High","Very High")))</f>
        <v>Low Frequency</v>
      </c>
      <c r="Q342" s="8" t="str">
        <f aca="false">IF(K342&gt;=90,"Highly Satisfied",IF(K342&gt;=75,"Satisfied",IF(K342&gt;=60,"Neutral","Dissatisfied")))</f>
        <v>Highly Satisfied</v>
      </c>
      <c r="R342" s="8" t="str">
        <f aca="false">UPPER(LEFT(TRIM(J342),1))&amp;LOWER(MID(TRIM(J342),2,100))</f>
        <v>Gold</v>
      </c>
      <c r="S342" s="8" t="str">
        <f aca="false">IF(I342="High","Positive",IF(I342="Medium","Neutral","Negative"))</f>
        <v>Positive</v>
      </c>
      <c r="T342" s="8" t="str">
        <f aca="false">IF(AND(E342&gt;=80000,H342&gt;=15),"Premium",IF(AND(E342&gt;=50000,H342&gt;=10),"Standard","Basic"))</f>
        <v>Basic</v>
      </c>
      <c r="U342" s="8" t="str">
        <f aca="false">IF(AND(F342&gt;=7,G342&gt;=7),"High Quality Experience","Review Needed")</f>
        <v>Review Needed</v>
      </c>
      <c r="V342" s="8" t="str">
        <f aca="false">IF(H342&gt;=10,"Repeat Buyer","Occasional Buyer")</f>
        <v>Occasional Buyer</v>
      </c>
      <c r="W342" s="8" t="str">
        <f aca="false">IF(AND(K342&lt;70,I342="Low"),"At Risk","Stable")</f>
        <v>Stable</v>
      </c>
      <c r="X342" s="8" t="str">
        <f aca="false">IF(AND(K342&lt;75,I342="Low",J342="Bronze"),"Priority Followup","No Action")</f>
        <v>No Action</v>
      </c>
    </row>
    <row r="343" customFormat="false" ht="15" hidden="false" customHeight="false" outlineLevel="0" collapsed="false">
      <c r="A343" s="3" t="n">
        <v>341</v>
      </c>
      <c r="B343" s="3" t="n">
        <v>37</v>
      </c>
      <c r="C343" s="3" t="s">
        <v>11</v>
      </c>
      <c r="D343" s="3" t="s">
        <v>12</v>
      </c>
      <c r="E343" s="3" t="n">
        <v>84674</v>
      </c>
      <c r="F343" s="3" t="n">
        <v>8</v>
      </c>
      <c r="G343" s="3" t="n">
        <v>6</v>
      </c>
      <c r="H343" s="3" t="n">
        <v>18</v>
      </c>
      <c r="I343" s="3" t="s">
        <v>21</v>
      </c>
      <c r="J343" s="3" t="s">
        <v>16</v>
      </c>
      <c r="K343" s="3" t="n">
        <v>100</v>
      </c>
      <c r="L343" s="7" t="str">
        <f aca="false">IF(B343&lt;25,"Gen Z",IF(B343&lt;40,"Millennial",IF(B343&lt;55,"Gen X","Baby Boomer")))</f>
        <v>Millennial</v>
      </c>
      <c r="M343" s="7" t="str">
        <f aca="false">IF(E343&lt;50000,"Low Income",IF(E343&lt;80000,"Middle Income",IF(E343&lt;100000,"Upper Middle","High Income")))</f>
        <v>Upper Middle</v>
      </c>
      <c r="N343" s="7" t="str">
        <f aca="false">IF(F343&lt;=3,"Poor",IF(F343&lt;=6,"Average",IF(F343&lt;=8,"Good","Excellent")))</f>
        <v>Good</v>
      </c>
      <c r="O343" s="7" t="str">
        <f aca="false">IF(G343&lt;=3,"Poor",IF(G343&lt;=6,"Average",IF(G343&lt;=8,"Good","Excellent")))</f>
        <v>Average</v>
      </c>
      <c r="P343" s="7" t="str">
        <f aca="false">IF(H343&lt;=5,"Low Frequency",IF(H343&lt;=10,"Moderate",IF(H343&lt;=15,"High","Very High")))</f>
        <v>Very High</v>
      </c>
      <c r="Q343" s="7" t="str">
        <f aca="false">IF(K343&gt;=90,"Highly Satisfied",IF(K343&gt;=75,"Satisfied",IF(K343&gt;=60,"Neutral","Dissatisfied")))</f>
        <v>Highly Satisfied</v>
      </c>
      <c r="R343" s="7" t="str">
        <f aca="false">UPPER(LEFT(TRIM(J343),1))&amp;LOWER(MID(TRIM(J343),2,100))</f>
        <v>Gold</v>
      </c>
      <c r="S343" s="7" t="str">
        <f aca="false">IF(I343="High","Positive",IF(I343="Medium","Neutral","Negative"))</f>
        <v>Positive</v>
      </c>
      <c r="T343" s="7" t="str">
        <f aca="false">IF(AND(E343&gt;=80000,H343&gt;=15),"Premium",IF(AND(E343&gt;=50000,H343&gt;=10),"Standard","Basic"))</f>
        <v>Premium</v>
      </c>
      <c r="U343" s="7" t="str">
        <f aca="false">IF(AND(F343&gt;=7,G343&gt;=7),"High Quality Experience","Review Needed")</f>
        <v>Review Needed</v>
      </c>
      <c r="V343" s="7" t="str">
        <f aca="false">IF(H343&gt;=10,"Repeat Buyer","Occasional Buyer")</f>
        <v>Repeat Buyer</v>
      </c>
      <c r="W343" s="7" t="str">
        <f aca="false">IF(AND(K343&lt;70,I343="Low"),"At Risk","Stable")</f>
        <v>Stable</v>
      </c>
      <c r="X343" s="7" t="str">
        <f aca="false">IF(AND(K343&lt;75,I343="Low",J343="Bronze"),"Priority Followup","No Action")</f>
        <v>No Action</v>
      </c>
    </row>
    <row r="344" customFormat="false" ht="15" hidden="false" customHeight="false" outlineLevel="0" collapsed="false">
      <c r="A344" s="2" t="n">
        <v>342</v>
      </c>
      <c r="B344" s="2" t="n">
        <v>25</v>
      </c>
      <c r="C344" s="2" t="s">
        <v>17</v>
      </c>
      <c r="D344" s="2" t="s">
        <v>23</v>
      </c>
      <c r="E344" s="2" t="n">
        <v>101153</v>
      </c>
      <c r="F344" s="2" t="n">
        <v>8</v>
      </c>
      <c r="G344" s="2" t="n">
        <v>10</v>
      </c>
      <c r="H344" s="2" t="n">
        <v>7</v>
      </c>
      <c r="I344" s="2" t="s">
        <v>21</v>
      </c>
      <c r="J344" s="2" t="s">
        <v>16</v>
      </c>
      <c r="K344" s="2" t="n">
        <v>100</v>
      </c>
      <c r="L344" s="8" t="str">
        <f aca="false">IF(B344&lt;25,"Gen Z",IF(B344&lt;40,"Millennial",IF(B344&lt;55,"Gen X","Baby Boomer")))</f>
        <v>Millennial</v>
      </c>
      <c r="M344" s="8" t="str">
        <f aca="false">IF(E344&lt;50000,"Low Income",IF(E344&lt;80000,"Middle Income",IF(E344&lt;100000,"Upper Middle","High Income")))</f>
        <v>High Income</v>
      </c>
      <c r="N344" s="8" t="str">
        <f aca="false">IF(F344&lt;=3,"Poor",IF(F344&lt;=6,"Average",IF(F344&lt;=8,"Good","Excellent")))</f>
        <v>Good</v>
      </c>
      <c r="O344" s="8" t="str">
        <f aca="false">IF(G344&lt;=3,"Poor",IF(G344&lt;=6,"Average",IF(G344&lt;=8,"Good","Excellent")))</f>
        <v>Excellent</v>
      </c>
      <c r="P344" s="8" t="str">
        <f aca="false">IF(H344&lt;=5,"Low Frequency",IF(H344&lt;=10,"Moderate",IF(H344&lt;=15,"High","Very High")))</f>
        <v>Moderate</v>
      </c>
      <c r="Q344" s="8" t="str">
        <f aca="false">IF(K344&gt;=90,"Highly Satisfied",IF(K344&gt;=75,"Satisfied",IF(K344&gt;=60,"Neutral","Dissatisfied")))</f>
        <v>Highly Satisfied</v>
      </c>
      <c r="R344" s="8" t="str">
        <f aca="false">UPPER(LEFT(TRIM(J344),1))&amp;LOWER(MID(TRIM(J344),2,100))</f>
        <v>Gold</v>
      </c>
      <c r="S344" s="8" t="str">
        <f aca="false">IF(I344="High","Positive",IF(I344="Medium","Neutral","Negative"))</f>
        <v>Positive</v>
      </c>
      <c r="T344" s="8" t="str">
        <f aca="false">IF(AND(E344&gt;=80000,H344&gt;=15),"Premium",IF(AND(E344&gt;=50000,H344&gt;=10),"Standard","Basic"))</f>
        <v>Basic</v>
      </c>
      <c r="U344" s="8" t="str">
        <f aca="false">IF(AND(F344&gt;=7,G344&gt;=7),"High Quality Experience","Review Needed")</f>
        <v>High Quality Experience</v>
      </c>
      <c r="V344" s="8" t="str">
        <f aca="false">IF(H344&gt;=10,"Repeat Buyer","Occasional Buyer")</f>
        <v>Occasional Buyer</v>
      </c>
      <c r="W344" s="8" t="str">
        <f aca="false">IF(AND(K344&lt;70,I344="Low"),"At Risk","Stable")</f>
        <v>Stable</v>
      </c>
      <c r="X344" s="8" t="str">
        <f aca="false">IF(AND(K344&lt;75,I344="Low",J344="Bronze"),"Priority Followup","No Action")</f>
        <v>No Action</v>
      </c>
    </row>
    <row r="345" customFormat="false" ht="15" hidden="false" customHeight="false" outlineLevel="0" collapsed="false">
      <c r="A345" s="3" t="n">
        <v>343</v>
      </c>
      <c r="B345" s="3" t="n">
        <v>24</v>
      </c>
      <c r="C345" s="3" t="s">
        <v>17</v>
      </c>
      <c r="D345" s="3" t="s">
        <v>18</v>
      </c>
      <c r="E345" s="3" t="n">
        <v>75097</v>
      </c>
      <c r="F345" s="3" t="n">
        <v>1</v>
      </c>
      <c r="G345" s="3" t="n">
        <v>4</v>
      </c>
      <c r="H345" s="3" t="n">
        <v>10</v>
      </c>
      <c r="I345" s="3" t="s">
        <v>21</v>
      </c>
      <c r="J345" s="3" t="s">
        <v>16</v>
      </c>
      <c r="K345" s="3" t="n">
        <v>65.09</v>
      </c>
      <c r="L345" s="7" t="str">
        <f aca="false">IF(B345&lt;25,"Gen Z",IF(B345&lt;40,"Millennial",IF(B345&lt;55,"Gen X","Baby Boomer")))</f>
        <v>Gen Z</v>
      </c>
      <c r="M345" s="7" t="str">
        <f aca="false">IF(E345&lt;50000,"Low Income",IF(E345&lt;80000,"Middle Income",IF(E345&lt;100000,"Upper Middle","High Income")))</f>
        <v>Middle Income</v>
      </c>
      <c r="N345" s="7" t="str">
        <f aca="false">IF(F345&lt;=3,"Poor",IF(F345&lt;=6,"Average",IF(F345&lt;=8,"Good","Excellent")))</f>
        <v>Poor</v>
      </c>
      <c r="O345" s="7" t="str">
        <f aca="false">IF(G345&lt;=3,"Poor",IF(G345&lt;=6,"Average",IF(G345&lt;=8,"Good","Excellent")))</f>
        <v>Average</v>
      </c>
      <c r="P345" s="7" t="str">
        <f aca="false">IF(H345&lt;=5,"Low Frequency",IF(H345&lt;=10,"Moderate",IF(H345&lt;=15,"High","Very High")))</f>
        <v>Moderate</v>
      </c>
      <c r="Q345" s="7" t="str">
        <f aca="false">IF(K345&gt;=90,"Highly Satisfied",IF(K345&gt;=75,"Satisfied",IF(K345&gt;=60,"Neutral","Dissatisfied")))</f>
        <v>Neutral</v>
      </c>
      <c r="R345" s="7" t="str">
        <f aca="false">UPPER(LEFT(TRIM(J345),1))&amp;LOWER(MID(TRIM(J345),2,100))</f>
        <v>Gold</v>
      </c>
      <c r="S345" s="7" t="str">
        <f aca="false">IF(I345="High","Positive",IF(I345="Medium","Neutral","Negative"))</f>
        <v>Positive</v>
      </c>
      <c r="T345" s="7" t="str">
        <f aca="false">IF(AND(E345&gt;=80000,H345&gt;=15),"Premium",IF(AND(E345&gt;=50000,H345&gt;=10),"Standard","Basic"))</f>
        <v>Standard</v>
      </c>
      <c r="U345" s="7" t="str">
        <f aca="false">IF(AND(F345&gt;=7,G345&gt;=7),"High Quality Experience","Review Needed")</f>
        <v>Review Needed</v>
      </c>
      <c r="V345" s="7" t="str">
        <f aca="false">IF(H345&gt;=10,"Repeat Buyer","Occasional Buyer")</f>
        <v>Repeat Buyer</v>
      </c>
      <c r="W345" s="7" t="str">
        <f aca="false">IF(AND(K345&lt;70,I345="Low"),"At Risk","Stable")</f>
        <v>Stable</v>
      </c>
      <c r="X345" s="7" t="str">
        <f aca="false">IF(AND(K345&lt;75,I345="Low",J345="Bronze"),"Priority Followup","No Action")</f>
        <v>No Action</v>
      </c>
    </row>
    <row r="346" customFormat="false" ht="15" hidden="false" customHeight="false" outlineLevel="0" collapsed="false">
      <c r="A346" s="2" t="n">
        <v>344</v>
      </c>
      <c r="B346" s="2" t="n">
        <v>20</v>
      </c>
      <c r="C346" s="2" t="s">
        <v>17</v>
      </c>
      <c r="D346" s="2" t="s">
        <v>22</v>
      </c>
      <c r="E346" s="2" t="n">
        <v>62227</v>
      </c>
      <c r="F346" s="2" t="n">
        <v>9</v>
      </c>
      <c r="G346" s="2" t="n">
        <v>8</v>
      </c>
      <c r="H346" s="2" t="n">
        <v>8</v>
      </c>
      <c r="I346" s="2" t="s">
        <v>15</v>
      </c>
      <c r="J346" s="2" t="s">
        <v>14</v>
      </c>
      <c r="K346" s="2" t="n">
        <v>100</v>
      </c>
      <c r="L346" s="8" t="str">
        <f aca="false">IF(B346&lt;25,"Gen Z",IF(B346&lt;40,"Millennial",IF(B346&lt;55,"Gen X","Baby Boomer")))</f>
        <v>Gen Z</v>
      </c>
      <c r="M346" s="8" t="str">
        <f aca="false">IF(E346&lt;50000,"Low Income",IF(E346&lt;80000,"Middle Income",IF(E346&lt;100000,"Upper Middle","High Income")))</f>
        <v>Middle Income</v>
      </c>
      <c r="N346" s="8" t="str">
        <f aca="false">IF(F346&lt;=3,"Poor",IF(F346&lt;=6,"Average",IF(F346&lt;=8,"Good","Excellent")))</f>
        <v>Excellent</v>
      </c>
      <c r="O346" s="8" t="str">
        <f aca="false">IF(G346&lt;=3,"Poor",IF(G346&lt;=6,"Average",IF(G346&lt;=8,"Good","Excellent")))</f>
        <v>Good</v>
      </c>
      <c r="P346" s="8" t="str">
        <f aca="false">IF(H346&lt;=5,"Low Frequency",IF(H346&lt;=10,"Moderate",IF(H346&lt;=15,"High","Very High")))</f>
        <v>Moderate</v>
      </c>
      <c r="Q346" s="8" t="str">
        <f aca="false">IF(K346&gt;=90,"Highly Satisfied",IF(K346&gt;=75,"Satisfied",IF(K346&gt;=60,"Neutral","Dissatisfied")))</f>
        <v>Highly Satisfied</v>
      </c>
      <c r="R346" s="8" t="str">
        <f aca="false">UPPER(LEFT(TRIM(J346),1))&amp;LOWER(MID(TRIM(J346),2,100))</f>
        <v>Bronze</v>
      </c>
      <c r="S346" s="8" t="str">
        <f aca="false">IF(I346="High","Positive",IF(I346="Medium","Neutral","Negative"))</f>
        <v>Neutral</v>
      </c>
      <c r="T346" s="8" t="str">
        <f aca="false">IF(AND(E346&gt;=80000,H346&gt;=15),"Premium",IF(AND(E346&gt;=50000,H346&gt;=10),"Standard","Basic"))</f>
        <v>Basic</v>
      </c>
      <c r="U346" s="8" t="str">
        <f aca="false">IF(AND(F346&gt;=7,G346&gt;=7),"High Quality Experience","Review Needed")</f>
        <v>High Quality Experience</v>
      </c>
      <c r="V346" s="8" t="str">
        <f aca="false">IF(H346&gt;=10,"Repeat Buyer","Occasional Buyer")</f>
        <v>Occasional Buyer</v>
      </c>
      <c r="W346" s="8" t="str">
        <f aca="false">IF(AND(K346&lt;70,I346="Low"),"At Risk","Stable")</f>
        <v>Stable</v>
      </c>
      <c r="X346" s="8" t="str">
        <f aca="false">IF(AND(K346&lt;75,I346="Low",J346="Bronze"),"Priority Followup","No Action")</f>
        <v>No Action</v>
      </c>
    </row>
    <row r="347" customFormat="false" ht="15" hidden="false" customHeight="false" outlineLevel="0" collapsed="false">
      <c r="A347" s="3" t="n">
        <v>345</v>
      </c>
      <c r="B347" s="3" t="n">
        <v>34</v>
      </c>
      <c r="C347" s="3" t="s">
        <v>11</v>
      </c>
      <c r="D347" s="3" t="s">
        <v>20</v>
      </c>
      <c r="E347" s="3" t="n">
        <v>106958</v>
      </c>
      <c r="F347" s="3" t="n">
        <v>4</v>
      </c>
      <c r="G347" s="3" t="n">
        <v>5</v>
      </c>
      <c r="H347" s="3" t="n">
        <v>2</v>
      </c>
      <c r="I347" s="3" t="s">
        <v>13</v>
      </c>
      <c r="J347" s="3" t="s">
        <v>19</v>
      </c>
      <c r="K347" s="3" t="n">
        <v>89.1</v>
      </c>
      <c r="L347" s="7" t="str">
        <f aca="false">IF(B347&lt;25,"Gen Z",IF(B347&lt;40,"Millennial",IF(B347&lt;55,"Gen X","Baby Boomer")))</f>
        <v>Millennial</v>
      </c>
      <c r="M347" s="7" t="str">
        <f aca="false">IF(E347&lt;50000,"Low Income",IF(E347&lt;80000,"Middle Income",IF(E347&lt;100000,"Upper Middle","High Income")))</f>
        <v>High Income</v>
      </c>
      <c r="N347" s="7" t="str">
        <f aca="false">IF(F347&lt;=3,"Poor",IF(F347&lt;=6,"Average",IF(F347&lt;=8,"Good","Excellent")))</f>
        <v>Average</v>
      </c>
      <c r="O347" s="7" t="str">
        <f aca="false">IF(G347&lt;=3,"Poor",IF(G347&lt;=6,"Average",IF(G347&lt;=8,"Good","Excellent")))</f>
        <v>Average</v>
      </c>
      <c r="P347" s="7" t="str">
        <f aca="false">IF(H347&lt;=5,"Low Frequency",IF(H347&lt;=10,"Moderate",IF(H347&lt;=15,"High","Very High")))</f>
        <v>Low Frequency</v>
      </c>
      <c r="Q347" s="7" t="str">
        <f aca="false">IF(K347&gt;=90,"Highly Satisfied",IF(K347&gt;=75,"Satisfied",IF(K347&gt;=60,"Neutral","Dissatisfied")))</f>
        <v>Satisfied</v>
      </c>
      <c r="R347" s="7" t="str">
        <f aca="false">UPPER(LEFT(TRIM(J347),1))&amp;LOWER(MID(TRIM(J347),2,100))</f>
        <v>Silver</v>
      </c>
      <c r="S347" s="7" t="str">
        <f aca="false">IF(I347="High","Positive",IF(I347="Medium","Neutral","Negative"))</f>
        <v>Negative</v>
      </c>
      <c r="T347" s="7" t="str">
        <f aca="false">IF(AND(E347&gt;=80000,H347&gt;=15),"Premium",IF(AND(E347&gt;=50000,H347&gt;=10),"Standard","Basic"))</f>
        <v>Basic</v>
      </c>
      <c r="U347" s="7" t="str">
        <f aca="false">IF(AND(F347&gt;=7,G347&gt;=7),"High Quality Experience","Review Needed")</f>
        <v>Review Needed</v>
      </c>
      <c r="V347" s="7" t="str">
        <f aca="false">IF(H347&gt;=10,"Repeat Buyer","Occasional Buyer")</f>
        <v>Occasional Buyer</v>
      </c>
      <c r="W347" s="7" t="str">
        <f aca="false">IF(AND(K347&lt;70,I347="Low"),"At Risk","Stable")</f>
        <v>Stable</v>
      </c>
      <c r="X347" s="7" t="str">
        <f aca="false">IF(AND(K347&lt;75,I347="Low",J347="Bronze"),"Priority Followup","No Action")</f>
        <v>No Action</v>
      </c>
    </row>
    <row r="348" customFormat="false" ht="15" hidden="false" customHeight="false" outlineLevel="0" collapsed="false">
      <c r="A348" s="2" t="n">
        <v>346</v>
      </c>
      <c r="B348" s="2" t="n">
        <v>50</v>
      </c>
      <c r="C348" s="2" t="s">
        <v>11</v>
      </c>
      <c r="D348" s="2" t="s">
        <v>22</v>
      </c>
      <c r="E348" s="2" t="n">
        <v>38441</v>
      </c>
      <c r="F348" s="2" t="n">
        <v>2</v>
      </c>
      <c r="G348" s="2" t="n">
        <v>7</v>
      </c>
      <c r="H348" s="2" t="n">
        <v>2</v>
      </c>
      <c r="I348" s="2" t="s">
        <v>21</v>
      </c>
      <c r="J348" s="2" t="s">
        <v>14</v>
      </c>
      <c r="K348" s="2" t="n">
        <v>72.7</v>
      </c>
      <c r="L348" s="8" t="str">
        <f aca="false">IF(B348&lt;25,"Gen Z",IF(B348&lt;40,"Millennial",IF(B348&lt;55,"Gen X","Baby Boomer")))</f>
        <v>Gen X</v>
      </c>
      <c r="M348" s="8" t="str">
        <f aca="false">IF(E348&lt;50000,"Low Income",IF(E348&lt;80000,"Middle Income",IF(E348&lt;100000,"Upper Middle","High Income")))</f>
        <v>Low Income</v>
      </c>
      <c r="N348" s="8" t="str">
        <f aca="false">IF(F348&lt;=3,"Poor",IF(F348&lt;=6,"Average",IF(F348&lt;=8,"Good","Excellent")))</f>
        <v>Poor</v>
      </c>
      <c r="O348" s="8" t="str">
        <f aca="false">IF(G348&lt;=3,"Poor",IF(G348&lt;=6,"Average",IF(G348&lt;=8,"Good","Excellent")))</f>
        <v>Good</v>
      </c>
      <c r="P348" s="8" t="str">
        <f aca="false">IF(H348&lt;=5,"Low Frequency",IF(H348&lt;=10,"Moderate",IF(H348&lt;=15,"High","Very High")))</f>
        <v>Low Frequency</v>
      </c>
      <c r="Q348" s="8" t="str">
        <f aca="false">IF(K348&gt;=90,"Highly Satisfied",IF(K348&gt;=75,"Satisfied",IF(K348&gt;=60,"Neutral","Dissatisfied")))</f>
        <v>Neutral</v>
      </c>
      <c r="R348" s="8" t="str">
        <f aca="false">UPPER(LEFT(TRIM(J348),1))&amp;LOWER(MID(TRIM(J348),2,100))</f>
        <v>Bronze</v>
      </c>
      <c r="S348" s="8" t="str">
        <f aca="false">IF(I348="High","Positive",IF(I348="Medium","Neutral","Negative"))</f>
        <v>Positive</v>
      </c>
      <c r="T348" s="8" t="str">
        <f aca="false">IF(AND(E348&gt;=80000,H348&gt;=15),"Premium",IF(AND(E348&gt;=50000,H348&gt;=10),"Standard","Basic"))</f>
        <v>Basic</v>
      </c>
      <c r="U348" s="8" t="str">
        <f aca="false">IF(AND(F348&gt;=7,G348&gt;=7),"High Quality Experience","Review Needed")</f>
        <v>Review Needed</v>
      </c>
      <c r="V348" s="8" t="str">
        <f aca="false">IF(H348&gt;=10,"Repeat Buyer","Occasional Buyer")</f>
        <v>Occasional Buyer</v>
      </c>
      <c r="W348" s="8" t="str">
        <f aca="false">IF(AND(K348&lt;70,I348="Low"),"At Risk","Stable")</f>
        <v>Stable</v>
      </c>
      <c r="X348" s="8" t="str">
        <f aca="false">IF(AND(K348&lt;75,I348="Low",J348="Bronze"),"Priority Followup","No Action")</f>
        <v>No Action</v>
      </c>
    </row>
    <row r="349" customFormat="false" ht="15" hidden="false" customHeight="false" outlineLevel="0" collapsed="false">
      <c r="A349" s="3" t="n">
        <v>347</v>
      </c>
      <c r="B349" s="3" t="n">
        <v>65</v>
      </c>
      <c r="C349" s="3" t="s">
        <v>11</v>
      </c>
      <c r="D349" s="3" t="s">
        <v>20</v>
      </c>
      <c r="E349" s="3" t="n">
        <v>30330</v>
      </c>
      <c r="F349" s="3" t="n">
        <v>3</v>
      </c>
      <c r="G349" s="3" t="n">
        <v>8</v>
      </c>
      <c r="H349" s="3" t="n">
        <v>12</v>
      </c>
      <c r="I349" s="3" t="s">
        <v>13</v>
      </c>
      <c r="J349" s="3" t="s">
        <v>19</v>
      </c>
      <c r="K349" s="3" t="n">
        <v>79.73</v>
      </c>
      <c r="L349" s="7" t="str">
        <f aca="false">IF(B349&lt;25,"Gen Z",IF(B349&lt;40,"Millennial",IF(B349&lt;55,"Gen X","Baby Boomer")))</f>
        <v>Baby Boomer</v>
      </c>
      <c r="M349" s="7" t="str">
        <f aca="false">IF(E349&lt;50000,"Low Income",IF(E349&lt;80000,"Middle Income",IF(E349&lt;100000,"Upper Middle","High Income")))</f>
        <v>Low Income</v>
      </c>
      <c r="N349" s="7" t="str">
        <f aca="false">IF(F349&lt;=3,"Poor",IF(F349&lt;=6,"Average",IF(F349&lt;=8,"Good","Excellent")))</f>
        <v>Poor</v>
      </c>
      <c r="O349" s="7" t="str">
        <f aca="false">IF(G349&lt;=3,"Poor",IF(G349&lt;=6,"Average",IF(G349&lt;=8,"Good","Excellent")))</f>
        <v>Good</v>
      </c>
      <c r="P349" s="7" t="str">
        <f aca="false">IF(H349&lt;=5,"Low Frequency",IF(H349&lt;=10,"Moderate",IF(H349&lt;=15,"High","Very High")))</f>
        <v>High</v>
      </c>
      <c r="Q349" s="7" t="str">
        <f aca="false">IF(K349&gt;=90,"Highly Satisfied",IF(K349&gt;=75,"Satisfied",IF(K349&gt;=60,"Neutral","Dissatisfied")))</f>
        <v>Satisfied</v>
      </c>
      <c r="R349" s="7" t="str">
        <f aca="false">UPPER(LEFT(TRIM(J349),1))&amp;LOWER(MID(TRIM(J349),2,100))</f>
        <v>Silver</v>
      </c>
      <c r="S349" s="7" t="str">
        <f aca="false">IF(I349="High","Positive",IF(I349="Medium","Neutral","Negative"))</f>
        <v>Negative</v>
      </c>
      <c r="T349" s="7" t="str">
        <f aca="false">IF(AND(E349&gt;=80000,H349&gt;=15),"Premium",IF(AND(E349&gt;=50000,H349&gt;=10),"Standard","Basic"))</f>
        <v>Basic</v>
      </c>
      <c r="U349" s="7" t="str">
        <f aca="false">IF(AND(F349&gt;=7,G349&gt;=7),"High Quality Experience","Review Needed")</f>
        <v>Review Needed</v>
      </c>
      <c r="V349" s="7" t="str">
        <f aca="false">IF(H349&gt;=10,"Repeat Buyer","Occasional Buyer")</f>
        <v>Repeat Buyer</v>
      </c>
      <c r="W349" s="7" t="str">
        <f aca="false">IF(AND(K349&lt;70,I349="Low"),"At Risk","Stable")</f>
        <v>Stable</v>
      </c>
      <c r="X349" s="7" t="str">
        <f aca="false">IF(AND(K349&lt;75,I349="Low",J349="Bronze"),"Priority Followup","No Action")</f>
        <v>No Action</v>
      </c>
    </row>
    <row r="350" customFormat="false" ht="15" hidden="false" customHeight="false" outlineLevel="0" collapsed="false">
      <c r="A350" s="2" t="n">
        <v>348</v>
      </c>
      <c r="B350" s="2" t="n">
        <v>29</v>
      </c>
      <c r="C350" s="2" t="s">
        <v>17</v>
      </c>
      <c r="D350" s="2" t="s">
        <v>22</v>
      </c>
      <c r="E350" s="2" t="n">
        <v>97408</v>
      </c>
      <c r="F350" s="2" t="n">
        <v>7</v>
      </c>
      <c r="G350" s="2" t="n">
        <v>8</v>
      </c>
      <c r="H350" s="2" t="n">
        <v>3</v>
      </c>
      <c r="I350" s="2" t="s">
        <v>21</v>
      </c>
      <c r="J350" s="2" t="s">
        <v>16</v>
      </c>
      <c r="K350" s="2" t="n">
        <v>100</v>
      </c>
      <c r="L350" s="8" t="str">
        <f aca="false">IF(B350&lt;25,"Gen Z",IF(B350&lt;40,"Millennial",IF(B350&lt;55,"Gen X","Baby Boomer")))</f>
        <v>Millennial</v>
      </c>
      <c r="M350" s="8" t="str">
        <f aca="false">IF(E350&lt;50000,"Low Income",IF(E350&lt;80000,"Middle Income",IF(E350&lt;100000,"Upper Middle","High Income")))</f>
        <v>Upper Middle</v>
      </c>
      <c r="N350" s="8" t="str">
        <f aca="false">IF(F350&lt;=3,"Poor",IF(F350&lt;=6,"Average",IF(F350&lt;=8,"Good","Excellent")))</f>
        <v>Good</v>
      </c>
      <c r="O350" s="8" t="str">
        <f aca="false">IF(G350&lt;=3,"Poor",IF(G350&lt;=6,"Average",IF(G350&lt;=8,"Good","Excellent")))</f>
        <v>Good</v>
      </c>
      <c r="P350" s="8" t="str">
        <f aca="false">IF(H350&lt;=5,"Low Frequency",IF(H350&lt;=10,"Moderate",IF(H350&lt;=15,"High","Very High")))</f>
        <v>Low Frequency</v>
      </c>
      <c r="Q350" s="8" t="str">
        <f aca="false">IF(K350&gt;=90,"Highly Satisfied",IF(K350&gt;=75,"Satisfied",IF(K350&gt;=60,"Neutral","Dissatisfied")))</f>
        <v>Highly Satisfied</v>
      </c>
      <c r="R350" s="8" t="str">
        <f aca="false">UPPER(LEFT(TRIM(J350),1))&amp;LOWER(MID(TRIM(J350),2,100))</f>
        <v>Gold</v>
      </c>
      <c r="S350" s="8" t="str">
        <f aca="false">IF(I350="High","Positive",IF(I350="Medium","Neutral","Negative"))</f>
        <v>Positive</v>
      </c>
      <c r="T350" s="8" t="str">
        <f aca="false">IF(AND(E350&gt;=80000,H350&gt;=15),"Premium",IF(AND(E350&gt;=50000,H350&gt;=10),"Standard","Basic"))</f>
        <v>Basic</v>
      </c>
      <c r="U350" s="8" t="str">
        <f aca="false">IF(AND(F350&gt;=7,G350&gt;=7),"High Quality Experience","Review Needed")</f>
        <v>High Quality Experience</v>
      </c>
      <c r="V350" s="8" t="str">
        <f aca="false">IF(H350&gt;=10,"Repeat Buyer","Occasional Buyer")</f>
        <v>Occasional Buyer</v>
      </c>
      <c r="W350" s="8" t="str">
        <f aca="false">IF(AND(K350&lt;70,I350="Low"),"At Risk","Stable")</f>
        <v>Stable</v>
      </c>
      <c r="X350" s="8" t="str">
        <f aca="false">IF(AND(K350&lt;75,I350="Low",J350="Bronze"),"Priority Followup","No Action")</f>
        <v>No Action</v>
      </c>
    </row>
    <row r="351" customFormat="false" ht="15" hidden="false" customHeight="false" outlineLevel="0" collapsed="false">
      <c r="A351" s="3" t="n">
        <v>349</v>
      </c>
      <c r="B351" s="3" t="n">
        <v>68</v>
      </c>
      <c r="C351" s="3" t="s">
        <v>17</v>
      </c>
      <c r="D351" s="3" t="s">
        <v>18</v>
      </c>
      <c r="E351" s="3" t="n">
        <v>62480</v>
      </c>
      <c r="F351" s="3" t="n">
        <v>9</v>
      </c>
      <c r="G351" s="3" t="n">
        <v>6</v>
      </c>
      <c r="H351" s="3" t="n">
        <v>8</v>
      </c>
      <c r="I351" s="3" t="s">
        <v>15</v>
      </c>
      <c r="J351" s="3" t="s">
        <v>16</v>
      </c>
      <c r="K351" s="3" t="n">
        <v>100</v>
      </c>
      <c r="L351" s="7" t="str">
        <f aca="false">IF(B351&lt;25,"Gen Z",IF(B351&lt;40,"Millennial",IF(B351&lt;55,"Gen X","Baby Boomer")))</f>
        <v>Baby Boomer</v>
      </c>
      <c r="M351" s="7" t="str">
        <f aca="false">IF(E351&lt;50000,"Low Income",IF(E351&lt;80000,"Middle Income",IF(E351&lt;100000,"Upper Middle","High Income")))</f>
        <v>Middle Income</v>
      </c>
      <c r="N351" s="7" t="str">
        <f aca="false">IF(F351&lt;=3,"Poor",IF(F351&lt;=6,"Average",IF(F351&lt;=8,"Good","Excellent")))</f>
        <v>Excellent</v>
      </c>
      <c r="O351" s="7" t="str">
        <f aca="false">IF(G351&lt;=3,"Poor",IF(G351&lt;=6,"Average",IF(G351&lt;=8,"Good","Excellent")))</f>
        <v>Average</v>
      </c>
      <c r="P351" s="7" t="str">
        <f aca="false">IF(H351&lt;=5,"Low Frequency",IF(H351&lt;=10,"Moderate",IF(H351&lt;=15,"High","Very High")))</f>
        <v>Moderate</v>
      </c>
      <c r="Q351" s="7" t="str">
        <f aca="false">IF(K351&gt;=90,"Highly Satisfied",IF(K351&gt;=75,"Satisfied",IF(K351&gt;=60,"Neutral","Dissatisfied")))</f>
        <v>Highly Satisfied</v>
      </c>
      <c r="R351" s="7" t="str">
        <f aca="false">UPPER(LEFT(TRIM(J351),1))&amp;LOWER(MID(TRIM(J351),2,100))</f>
        <v>Gold</v>
      </c>
      <c r="S351" s="7" t="str">
        <f aca="false">IF(I351="High","Positive",IF(I351="Medium","Neutral","Negative"))</f>
        <v>Neutral</v>
      </c>
      <c r="T351" s="7" t="str">
        <f aca="false">IF(AND(E351&gt;=80000,H351&gt;=15),"Premium",IF(AND(E351&gt;=50000,H351&gt;=10),"Standard","Basic"))</f>
        <v>Basic</v>
      </c>
      <c r="U351" s="7" t="str">
        <f aca="false">IF(AND(F351&gt;=7,G351&gt;=7),"High Quality Experience","Review Needed")</f>
        <v>Review Needed</v>
      </c>
      <c r="V351" s="7" t="str">
        <f aca="false">IF(H351&gt;=10,"Repeat Buyer","Occasional Buyer")</f>
        <v>Occasional Buyer</v>
      </c>
      <c r="W351" s="7" t="str">
        <f aca="false">IF(AND(K351&lt;70,I351="Low"),"At Risk","Stable")</f>
        <v>Stable</v>
      </c>
      <c r="X351" s="7" t="str">
        <f aca="false">IF(AND(K351&lt;75,I351="Low",J351="Bronze"),"Priority Followup","No Action")</f>
        <v>No Action</v>
      </c>
    </row>
    <row r="352" customFormat="false" ht="15" hidden="false" customHeight="false" outlineLevel="0" collapsed="false">
      <c r="A352" s="2" t="n">
        <v>350</v>
      </c>
      <c r="B352" s="2" t="n">
        <v>39</v>
      </c>
      <c r="C352" s="2" t="s">
        <v>11</v>
      </c>
      <c r="D352" s="2" t="s">
        <v>20</v>
      </c>
      <c r="E352" s="2" t="n">
        <v>35482</v>
      </c>
      <c r="F352" s="2" t="n">
        <v>7</v>
      </c>
      <c r="G352" s="2" t="n">
        <v>9</v>
      </c>
      <c r="H352" s="2" t="n">
        <v>11</v>
      </c>
      <c r="I352" s="2" t="s">
        <v>21</v>
      </c>
      <c r="J352" s="2" t="s">
        <v>16</v>
      </c>
      <c r="K352" s="2" t="n">
        <v>100</v>
      </c>
      <c r="L352" s="8" t="str">
        <f aca="false">IF(B352&lt;25,"Gen Z",IF(B352&lt;40,"Millennial",IF(B352&lt;55,"Gen X","Baby Boomer")))</f>
        <v>Millennial</v>
      </c>
      <c r="M352" s="8" t="str">
        <f aca="false">IF(E352&lt;50000,"Low Income",IF(E352&lt;80000,"Middle Income",IF(E352&lt;100000,"Upper Middle","High Income")))</f>
        <v>Low Income</v>
      </c>
      <c r="N352" s="8" t="str">
        <f aca="false">IF(F352&lt;=3,"Poor",IF(F352&lt;=6,"Average",IF(F352&lt;=8,"Good","Excellent")))</f>
        <v>Good</v>
      </c>
      <c r="O352" s="8" t="str">
        <f aca="false">IF(G352&lt;=3,"Poor",IF(G352&lt;=6,"Average",IF(G352&lt;=8,"Good","Excellent")))</f>
        <v>Excellent</v>
      </c>
      <c r="P352" s="8" t="str">
        <f aca="false">IF(H352&lt;=5,"Low Frequency",IF(H352&lt;=10,"Moderate",IF(H352&lt;=15,"High","Very High")))</f>
        <v>High</v>
      </c>
      <c r="Q352" s="8" t="str">
        <f aca="false">IF(K352&gt;=90,"Highly Satisfied",IF(K352&gt;=75,"Satisfied",IF(K352&gt;=60,"Neutral","Dissatisfied")))</f>
        <v>Highly Satisfied</v>
      </c>
      <c r="R352" s="8" t="str">
        <f aca="false">UPPER(LEFT(TRIM(J352),1))&amp;LOWER(MID(TRIM(J352),2,100))</f>
        <v>Gold</v>
      </c>
      <c r="S352" s="8" t="str">
        <f aca="false">IF(I352="High","Positive",IF(I352="Medium","Neutral","Negative"))</f>
        <v>Positive</v>
      </c>
      <c r="T352" s="8" t="str">
        <f aca="false">IF(AND(E352&gt;=80000,H352&gt;=15),"Premium",IF(AND(E352&gt;=50000,H352&gt;=10),"Standard","Basic"))</f>
        <v>Basic</v>
      </c>
      <c r="U352" s="8" t="str">
        <f aca="false">IF(AND(F352&gt;=7,G352&gt;=7),"High Quality Experience","Review Needed")</f>
        <v>High Quality Experience</v>
      </c>
      <c r="V352" s="8" t="str">
        <f aca="false">IF(H352&gt;=10,"Repeat Buyer","Occasional Buyer")</f>
        <v>Repeat Buyer</v>
      </c>
      <c r="W352" s="8" t="str">
        <f aca="false">IF(AND(K352&lt;70,I352="Low"),"At Risk","Stable")</f>
        <v>Stable</v>
      </c>
      <c r="X352" s="8" t="str">
        <f aca="false">IF(AND(K352&lt;75,I352="Low",J352="Bronze"),"Priority Followup","No Action")</f>
        <v>No Action</v>
      </c>
    </row>
    <row r="353" customFormat="false" ht="15" hidden="false" customHeight="false" outlineLevel="0" collapsed="false">
      <c r="A353" s="3" t="n">
        <v>351</v>
      </c>
      <c r="B353" s="3" t="n">
        <v>39</v>
      </c>
      <c r="C353" s="3" t="s">
        <v>11</v>
      </c>
      <c r="D353" s="3" t="s">
        <v>20</v>
      </c>
      <c r="E353" s="3" t="n">
        <v>54025</v>
      </c>
      <c r="F353" s="3" t="n">
        <v>1</v>
      </c>
      <c r="G353" s="3" t="n">
        <v>8</v>
      </c>
      <c r="H353" s="3" t="n">
        <v>11</v>
      </c>
      <c r="I353" s="3" t="s">
        <v>15</v>
      </c>
      <c r="J353" s="3" t="s">
        <v>19</v>
      </c>
      <c r="K353" s="3" t="n">
        <v>75.63</v>
      </c>
      <c r="L353" s="7" t="str">
        <f aca="false">IF(B353&lt;25,"Gen Z",IF(B353&lt;40,"Millennial",IF(B353&lt;55,"Gen X","Baby Boomer")))</f>
        <v>Millennial</v>
      </c>
      <c r="M353" s="7" t="str">
        <f aca="false">IF(E353&lt;50000,"Low Income",IF(E353&lt;80000,"Middle Income",IF(E353&lt;100000,"Upper Middle","High Income")))</f>
        <v>Middle Income</v>
      </c>
      <c r="N353" s="7" t="str">
        <f aca="false">IF(F353&lt;=3,"Poor",IF(F353&lt;=6,"Average",IF(F353&lt;=8,"Good","Excellent")))</f>
        <v>Poor</v>
      </c>
      <c r="O353" s="7" t="str">
        <f aca="false">IF(G353&lt;=3,"Poor",IF(G353&lt;=6,"Average",IF(G353&lt;=8,"Good","Excellent")))</f>
        <v>Good</v>
      </c>
      <c r="P353" s="7" t="str">
        <f aca="false">IF(H353&lt;=5,"Low Frequency",IF(H353&lt;=10,"Moderate",IF(H353&lt;=15,"High","Very High")))</f>
        <v>High</v>
      </c>
      <c r="Q353" s="7" t="str">
        <f aca="false">IF(K353&gt;=90,"Highly Satisfied",IF(K353&gt;=75,"Satisfied",IF(K353&gt;=60,"Neutral","Dissatisfied")))</f>
        <v>Satisfied</v>
      </c>
      <c r="R353" s="7" t="str">
        <f aca="false">UPPER(LEFT(TRIM(J353),1))&amp;LOWER(MID(TRIM(J353),2,100))</f>
        <v>Silver</v>
      </c>
      <c r="S353" s="7" t="str">
        <f aca="false">IF(I353="High","Positive",IF(I353="Medium","Neutral","Negative"))</f>
        <v>Neutral</v>
      </c>
      <c r="T353" s="7" t="str">
        <f aca="false">IF(AND(E353&gt;=80000,H353&gt;=15),"Premium",IF(AND(E353&gt;=50000,H353&gt;=10),"Standard","Basic"))</f>
        <v>Standard</v>
      </c>
      <c r="U353" s="7" t="str">
        <f aca="false">IF(AND(F353&gt;=7,G353&gt;=7),"High Quality Experience","Review Needed")</f>
        <v>Review Needed</v>
      </c>
      <c r="V353" s="7" t="str">
        <f aca="false">IF(H353&gt;=10,"Repeat Buyer","Occasional Buyer")</f>
        <v>Repeat Buyer</v>
      </c>
      <c r="W353" s="7" t="str">
        <f aca="false">IF(AND(K353&lt;70,I353="Low"),"At Risk","Stable")</f>
        <v>Stable</v>
      </c>
      <c r="X353" s="7" t="str">
        <f aca="false">IF(AND(K353&lt;75,I353="Low",J353="Bronze"),"Priority Followup","No Action")</f>
        <v>No Action</v>
      </c>
    </row>
    <row r="354" customFormat="false" ht="15" hidden="false" customHeight="false" outlineLevel="0" collapsed="false">
      <c r="A354" s="2" t="n">
        <v>352</v>
      </c>
      <c r="B354" s="2" t="n">
        <v>63</v>
      </c>
      <c r="C354" s="2" t="s">
        <v>17</v>
      </c>
      <c r="D354" s="2" t="s">
        <v>23</v>
      </c>
      <c r="E354" s="2" t="n">
        <v>35539</v>
      </c>
      <c r="F354" s="2" t="n">
        <v>6</v>
      </c>
      <c r="G354" s="2" t="n">
        <v>5</v>
      </c>
      <c r="H354" s="2" t="n">
        <v>10</v>
      </c>
      <c r="I354" s="2" t="s">
        <v>21</v>
      </c>
      <c r="J354" s="2" t="s">
        <v>19</v>
      </c>
      <c r="K354" s="2" t="n">
        <v>100</v>
      </c>
      <c r="L354" s="8" t="str">
        <f aca="false">IF(B354&lt;25,"Gen Z",IF(B354&lt;40,"Millennial",IF(B354&lt;55,"Gen X","Baby Boomer")))</f>
        <v>Baby Boomer</v>
      </c>
      <c r="M354" s="8" t="str">
        <f aca="false">IF(E354&lt;50000,"Low Income",IF(E354&lt;80000,"Middle Income",IF(E354&lt;100000,"Upper Middle","High Income")))</f>
        <v>Low Income</v>
      </c>
      <c r="N354" s="8" t="str">
        <f aca="false">IF(F354&lt;=3,"Poor",IF(F354&lt;=6,"Average",IF(F354&lt;=8,"Good","Excellent")))</f>
        <v>Average</v>
      </c>
      <c r="O354" s="8" t="str">
        <f aca="false">IF(G354&lt;=3,"Poor",IF(G354&lt;=6,"Average",IF(G354&lt;=8,"Good","Excellent")))</f>
        <v>Average</v>
      </c>
      <c r="P354" s="8" t="str">
        <f aca="false">IF(H354&lt;=5,"Low Frequency",IF(H354&lt;=10,"Moderate",IF(H354&lt;=15,"High","Very High")))</f>
        <v>Moderate</v>
      </c>
      <c r="Q354" s="8" t="str">
        <f aca="false">IF(K354&gt;=90,"Highly Satisfied",IF(K354&gt;=75,"Satisfied",IF(K354&gt;=60,"Neutral","Dissatisfied")))</f>
        <v>Highly Satisfied</v>
      </c>
      <c r="R354" s="8" t="str">
        <f aca="false">UPPER(LEFT(TRIM(J354),1))&amp;LOWER(MID(TRIM(J354),2,100))</f>
        <v>Silver</v>
      </c>
      <c r="S354" s="8" t="str">
        <f aca="false">IF(I354="High","Positive",IF(I354="Medium","Neutral","Negative"))</f>
        <v>Positive</v>
      </c>
      <c r="T354" s="8" t="str">
        <f aca="false">IF(AND(E354&gt;=80000,H354&gt;=15),"Premium",IF(AND(E354&gt;=50000,H354&gt;=10),"Standard","Basic"))</f>
        <v>Basic</v>
      </c>
      <c r="U354" s="8" t="str">
        <f aca="false">IF(AND(F354&gt;=7,G354&gt;=7),"High Quality Experience","Review Needed")</f>
        <v>Review Needed</v>
      </c>
      <c r="V354" s="8" t="str">
        <f aca="false">IF(H354&gt;=10,"Repeat Buyer","Occasional Buyer")</f>
        <v>Repeat Buyer</v>
      </c>
      <c r="W354" s="8" t="str">
        <f aca="false">IF(AND(K354&lt;70,I354="Low"),"At Risk","Stable")</f>
        <v>Stable</v>
      </c>
      <c r="X354" s="8" t="str">
        <f aca="false">IF(AND(K354&lt;75,I354="Low",J354="Bronze"),"Priority Followup","No Action")</f>
        <v>No Action</v>
      </c>
    </row>
    <row r="355" customFormat="false" ht="15" hidden="false" customHeight="false" outlineLevel="0" collapsed="false">
      <c r="A355" s="3" t="n">
        <v>353</v>
      </c>
      <c r="B355" s="3" t="n">
        <v>47</v>
      </c>
      <c r="C355" s="3" t="s">
        <v>11</v>
      </c>
      <c r="D355" s="3" t="s">
        <v>22</v>
      </c>
      <c r="E355" s="3" t="n">
        <v>35569</v>
      </c>
      <c r="F355" s="3" t="n">
        <v>6</v>
      </c>
      <c r="G355" s="3" t="n">
        <v>2</v>
      </c>
      <c r="H355" s="3" t="n">
        <v>19</v>
      </c>
      <c r="I355" s="3" t="s">
        <v>13</v>
      </c>
      <c r="J355" s="3" t="s">
        <v>14</v>
      </c>
      <c r="K355" s="3" t="n">
        <v>81.23</v>
      </c>
      <c r="L355" s="7" t="str">
        <f aca="false">IF(B355&lt;25,"Gen Z",IF(B355&lt;40,"Millennial",IF(B355&lt;55,"Gen X","Baby Boomer")))</f>
        <v>Gen X</v>
      </c>
      <c r="M355" s="7" t="str">
        <f aca="false">IF(E355&lt;50000,"Low Income",IF(E355&lt;80000,"Middle Income",IF(E355&lt;100000,"Upper Middle","High Income")))</f>
        <v>Low Income</v>
      </c>
      <c r="N355" s="7" t="str">
        <f aca="false">IF(F355&lt;=3,"Poor",IF(F355&lt;=6,"Average",IF(F355&lt;=8,"Good","Excellent")))</f>
        <v>Average</v>
      </c>
      <c r="O355" s="7" t="str">
        <f aca="false">IF(G355&lt;=3,"Poor",IF(G355&lt;=6,"Average",IF(G355&lt;=8,"Good","Excellent")))</f>
        <v>Poor</v>
      </c>
      <c r="P355" s="7" t="str">
        <f aca="false">IF(H355&lt;=5,"Low Frequency",IF(H355&lt;=10,"Moderate",IF(H355&lt;=15,"High","Very High")))</f>
        <v>Very High</v>
      </c>
      <c r="Q355" s="7" t="str">
        <f aca="false">IF(K355&gt;=90,"Highly Satisfied",IF(K355&gt;=75,"Satisfied",IF(K355&gt;=60,"Neutral","Dissatisfied")))</f>
        <v>Satisfied</v>
      </c>
      <c r="R355" s="7" t="str">
        <f aca="false">UPPER(LEFT(TRIM(J355),1))&amp;LOWER(MID(TRIM(J355),2,100))</f>
        <v>Bronze</v>
      </c>
      <c r="S355" s="7" t="str">
        <f aca="false">IF(I355="High","Positive",IF(I355="Medium","Neutral","Negative"))</f>
        <v>Negative</v>
      </c>
      <c r="T355" s="7" t="str">
        <f aca="false">IF(AND(E355&gt;=80000,H355&gt;=15),"Premium",IF(AND(E355&gt;=50000,H355&gt;=10),"Standard","Basic"))</f>
        <v>Basic</v>
      </c>
      <c r="U355" s="7" t="str">
        <f aca="false">IF(AND(F355&gt;=7,G355&gt;=7),"High Quality Experience","Review Needed")</f>
        <v>Review Needed</v>
      </c>
      <c r="V355" s="7" t="str">
        <f aca="false">IF(H355&gt;=10,"Repeat Buyer","Occasional Buyer")</f>
        <v>Repeat Buyer</v>
      </c>
      <c r="W355" s="7" t="str">
        <f aca="false">IF(AND(K355&lt;70,I355="Low"),"At Risk","Stable")</f>
        <v>Stable</v>
      </c>
      <c r="X355" s="7" t="str">
        <f aca="false">IF(AND(K355&lt;75,I355="Low",J355="Bronze"),"Priority Followup","No Action")</f>
        <v>No Action</v>
      </c>
    </row>
    <row r="356" customFormat="false" ht="15" hidden="false" customHeight="false" outlineLevel="0" collapsed="false">
      <c r="A356" s="2" t="n">
        <v>354</v>
      </c>
      <c r="B356" s="2" t="n">
        <v>55</v>
      </c>
      <c r="C356" s="2" t="s">
        <v>11</v>
      </c>
      <c r="D356" s="2" t="s">
        <v>12</v>
      </c>
      <c r="E356" s="2" t="n">
        <v>44199</v>
      </c>
      <c r="F356" s="2" t="n">
        <v>5</v>
      </c>
      <c r="G356" s="2" t="n">
        <v>9</v>
      </c>
      <c r="H356" s="2" t="n">
        <v>19</v>
      </c>
      <c r="I356" s="2" t="s">
        <v>21</v>
      </c>
      <c r="J356" s="2" t="s">
        <v>19</v>
      </c>
      <c r="K356" s="2" t="n">
        <v>100</v>
      </c>
      <c r="L356" s="8" t="str">
        <f aca="false">IF(B356&lt;25,"Gen Z",IF(B356&lt;40,"Millennial",IF(B356&lt;55,"Gen X","Baby Boomer")))</f>
        <v>Baby Boomer</v>
      </c>
      <c r="M356" s="8" t="str">
        <f aca="false">IF(E356&lt;50000,"Low Income",IF(E356&lt;80000,"Middle Income",IF(E356&lt;100000,"Upper Middle","High Income")))</f>
        <v>Low Income</v>
      </c>
      <c r="N356" s="8" t="str">
        <f aca="false">IF(F356&lt;=3,"Poor",IF(F356&lt;=6,"Average",IF(F356&lt;=8,"Good","Excellent")))</f>
        <v>Average</v>
      </c>
      <c r="O356" s="8" t="str">
        <f aca="false">IF(G356&lt;=3,"Poor",IF(G356&lt;=6,"Average",IF(G356&lt;=8,"Good","Excellent")))</f>
        <v>Excellent</v>
      </c>
      <c r="P356" s="8" t="str">
        <f aca="false">IF(H356&lt;=5,"Low Frequency",IF(H356&lt;=10,"Moderate",IF(H356&lt;=15,"High","Very High")))</f>
        <v>Very High</v>
      </c>
      <c r="Q356" s="8" t="str">
        <f aca="false">IF(K356&gt;=90,"Highly Satisfied",IF(K356&gt;=75,"Satisfied",IF(K356&gt;=60,"Neutral","Dissatisfied")))</f>
        <v>Highly Satisfied</v>
      </c>
      <c r="R356" s="8" t="str">
        <f aca="false">UPPER(LEFT(TRIM(J356),1))&amp;LOWER(MID(TRIM(J356),2,100))</f>
        <v>Silver</v>
      </c>
      <c r="S356" s="8" t="str">
        <f aca="false">IF(I356="High","Positive",IF(I356="Medium","Neutral","Negative"))</f>
        <v>Positive</v>
      </c>
      <c r="T356" s="8" t="str">
        <f aca="false">IF(AND(E356&gt;=80000,H356&gt;=15),"Premium",IF(AND(E356&gt;=50000,H356&gt;=10),"Standard","Basic"))</f>
        <v>Basic</v>
      </c>
      <c r="U356" s="8" t="str">
        <f aca="false">IF(AND(F356&gt;=7,G356&gt;=7),"High Quality Experience","Review Needed")</f>
        <v>Review Needed</v>
      </c>
      <c r="V356" s="8" t="str">
        <f aca="false">IF(H356&gt;=10,"Repeat Buyer","Occasional Buyer")</f>
        <v>Repeat Buyer</v>
      </c>
      <c r="W356" s="8" t="str">
        <f aca="false">IF(AND(K356&lt;70,I356="Low"),"At Risk","Stable")</f>
        <v>Stable</v>
      </c>
      <c r="X356" s="8" t="str">
        <f aca="false">IF(AND(K356&lt;75,I356="Low",J356="Bronze"),"Priority Followup","No Action")</f>
        <v>No Action</v>
      </c>
    </row>
    <row r="357" customFormat="false" ht="15" hidden="false" customHeight="false" outlineLevel="0" collapsed="false">
      <c r="A357" s="3" t="n">
        <v>355</v>
      </c>
      <c r="B357" s="3" t="n">
        <v>55</v>
      </c>
      <c r="C357" s="3" t="s">
        <v>11</v>
      </c>
      <c r="D357" s="3" t="s">
        <v>12</v>
      </c>
      <c r="E357" s="3" t="n">
        <v>39406</v>
      </c>
      <c r="F357" s="3" t="n">
        <v>1</v>
      </c>
      <c r="G357" s="3" t="n">
        <v>10</v>
      </c>
      <c r="H357" s="3" t="n">
        <v>18</v>
      </c>
      <c r="I357" s="3" t="s">
        <v>13</v>
      </c>
      <c r="J357" s="3" t="s">
        <v>16</v>
      </c>
      <c r="K357" s="3" t="n">
        <v>100</v>
      </c>
      <c r="L357" s="7" t="str">
        <f aca="false">IF(B357&lt;25,"Gen Z",IF(B357&lt;40,"Millennial",IF(B357&lt;55,"Gen X","Baby Boomer")))</f>
        <v>Baby Boomer</v>
      </c>
      <c r="M357" s="7" t="str">
        <f aca="false">IF(E357&lt;50000,"Low Income",IF(E357&lt;80000,"Middle Income",IF(E357&lt;100000,"Upper Middle","High Income")))</f>
        <v>Low Income</v>
      </c>
      <c r="N357" s="7" t="str">
        <f aca="false">IF(F357&lt;=3,"Poor",IF(F357&lt;=6,"Average",IF(F357&lt;=8,"Good","Excellent")))</f>
        <v>Poor</v>
      </c>
      <c r="O357" s="7" t="str">
        <f aca="false">IF(G357&lt;=3,"Poor",IF(G357&lt;=6,"Average",IF(G357&lt;=8,"Good","Excellent")))</f>
        <v>Excellent</v>
      </c>
      <c r="P357" s="7" t="str">
        <f aca="false">IF(H357&lt;=5,"Low Frequency",IF(H357&lt;=10,"Moderate",IF(H357&lt;=15,"High","Very High")))</f>
        <v>Very High</v>
      </c>
      <c r="Q357" s="7" t="str">
        <f aca="false">IF(K357&gt;=90,"Highly Satisfied",IF(K357&gt;=75,"Satisfied",IF(K357&gt;=60,"Neutral","Dissatisfied")))</f>
        <v>Highly Satisfied</v>
      </c>
      <c r="R357" s="7" t="str">
        <f aca="false">UPPER(LEFT(TRIM(J357),1))&amp;LOWER(MID(TRIM(J357),2,100))</f>
        <v>Gold</v>
      </c>
      <c r="S357" s="7" t="str">
        <f aca="false">IF(I357="High","Positive",IF(I357="Medium","Neutral","Negative"))</f>
        <v>Negative</v>
      </c>
      <c r="T357" s="7" t="str">
        <f aca="false">IF(AND(E357&gt;=80000,H357&gt;=15),"Premium",IF(AND(E357&gt;=50000,H357&gt;=10),"Standard","Basic"))</f>
        <v>Basic</v>
      </c>
      <c r="U357" s="7" t="str">
        <f aca="false">IF(AND(F357&gt;=7,G357&gt;=7),"High Quality Experience","Review Needed")</f>
        <v>Review Needed</v>
      </c>
      <c r="V357" s="7" t="str">
        <f aca="false">IF(H357&gt;=10,"Repeat Buyer","Occasional Buyer")</f>
        <v>Repeat Buyer</v>
      </c>
      <c r="W357" s="7" t="str">
        <f aca="false">IF(AND(K357&lt;70,I357="Low"),"At Risk","Stable")</f>
        <v>Stable</v>
      </c>
      <c r="X357" s="7" t="str">
        <f aca="false">IF(AND(K357&lt;75,I357="Low",J357="Bronze"),"Priority Followup","No Action")</f>
        <v>No Action</v>
      </c>
    </row>
    <row r="358" customFormat="false" ht="15" hidden="false" customHeight="false" outlineLevel="0" collapsed="false">
      <c r="A358" s="2" t="n">
        <v>356</v>
      </c>
      <c r="B358" s="2" t="n">
        <v>62</v>
      </c>
      <c r="C358" s="2" t="s">
        <v>17</v>
      </c>
      <c r="D358" s="2" t="s">
        <v>23</v>
      </c>
      <c r="E358" s="2" t="n">
        <v>118433</v>
      </c>
      <c r="F358" s="2" t="n">
        <v>5</v>
      </c>
      <c r="G358" s="2" t="n">
        <v>10</v>
      </c>
      <c r="H358" s="2" t="n">
        <v>12</v>
      </c>
      <c r="I358" s="2" t="s">
        <v>15</v>
      </c>
      <c r="J358" s="2" t="s">
        <v>14</v>
      </c>
      <c r="K358" s="2" t="n">
        <v>100</v>
      </c>
      <c r="L358" s="8" t="str">
        <f aca="false">IF(B358&lt;25,"Gen Z",IF(B358&lt;40,"Millennial",IF(B358&lt;55,"Gen X","Baby Boomer")))</f>
        <v>Baby Boomer</v>
      </c>
      <c r="M358" s="8" t="str">
        <f aca="false">IF(E358&lt;50000,"Low Income",IF(E358&lt;80000,"Middle Income",IF(E358&lt;100000,"Upper Middle","High Income")))</f>
        <v>High Income</v>
      </c>
      <c r="N358" s="8" t="str">
        <f aca="false">IF(F358&lt;=3,"Poor",IF(F358&lt;=6,"Average",IF(F358&lt;=8,"Good","Excellent")))</f>
        <v>Average</v>
      </c>
      <c r="O358" s="8" t="str">
        <f aca="false">IF(G358&lt;=3,"Poor",IF(G358&lt;=6,"Average",IF(G358&lt;=8,"Good","Excellent")))</f>
        <v>Excellent</v>
      </c>
      <c r="P358" s="8" t="str">
        <f aca="false">IF(H358&lt;=5,"Low Frequency",IF(H358&lt;=10,"Moderate",IF(H358&lt;=15,"High","Very High")))</f>
        <v>High</v>
      </c>
      <c r="Q358" s="8" t="str">
        <f aca="false">IF(K358&gt;=90,"Highly Satisfied",IF(K358&gt;=75,"Satisfied",IF(K358&gt;=60,"Neutral","Dissatisfied")))</f>
        <v>Highly Satisfied</v>
      </c>
      <c r="R358" s="8" t="str">
        <f aca="false">UPPER(LEFT(TRIM(J358),1))&amp;LOWER(MID(TRIM(J358),2,100))</f>
        <v>Bronze</v>
      </c>
      <c r="S358" s="8" t="str">
        <f aca="false">IF(I358="High","Positive",IF(I358="Medium","Neutral","Negative"))</f>
        <v>Neutral</v>
      </c>
      <c r="T358" s="8" t="str">
        <f aca="false">IF(AND(E358&gt;=80000,H358&gt;=15),"Premium",IF(AND(E358&gt;=50000,H358&gt;=10),"Standard","Basic"))</f>
        <v>Standard</v>
      </c>
      <c r="U358" s="8" t="str">
        <f aca="false">IF(AND(F358&gt;=7,G358&gt;=7),"High Quality Experience","Review Needed")</f>
        <v>Review Needed</v>
      </c>
      <c r="V358" s="8" t="str">
        <f aca="false">IF(H358&gt;=10,"Repeat Buyer","Occasional Buyer")</f>
        <v>Repeat Buyer</v>
      </c>
      <c r="W358" s="8" t="str">
        <f aca="false">IF(AND(K358&lt;70,I358="Low"),"At Risk","Stable")</f>
        <v>Stable</v>
      </c>
      <c r="X358" s="8" t="str">
        <f aca="false">IF(AND(K358&lt;75,I358="Low",J358="Bronze"),"Priority Followup","No Action")</f>
        <v>No Action</v>
      </c>
    </row>
    <row r="359" customFormat="false" ht="15" hidden="false" customHeight="false" outlineLevel="0" collapsed="false">
      <c r="A359" s="3" t="n">
        <v>357</v>
      </c>
      <c r="B359" s="3" t="n">
        <v>68</v>
      </c>
      <c r="C359" s="3" t="s">
        <v>11</v>
      </c>
      <c r="D359" s="3" t="s">
        <v>23</v>
      </c>
      <c r="E359" s="3" t="n">
        <v>52806</v>
      </c>
      <c r="F359" s="3" t="n">
        <v>5</v>
      </c>
      <c r="G359" s="3" t="n">
        <v>9</v>
      </c>
      <c r="H359" s="3" t="n">
        <v>7</v>
      </c>
      <c r="I359" s="3" t="s">
        <v>13</v>
      </c>
      <c r="J359" s="3" t="s">
        <v>16</v>
      </c>
      <c r="K359" s="3" t="n">
        <v>100</v>
      </c>
      <c r="L359" s="7" t="str">
        <f aca="false">IF(B359&lt;25,"Gen Z",IF(B359&lt;40,"Millennial",IF(B359&lt;55,"Gen X","Baby Boomer")))</f>
        <v>Baby Boomer</v>
      </c>
      <c r="M359" s="7" t="str">
        <f aca="false">IF(E359&lt;50000,"Low Income",IF(E359&lt;80000,"Middle Income",IF(E359&lt;100000,"Upper Middle","High Income")))</f>
        <v>Middle Income</v>
      </c>
      <c r="N359" s="7" t="str">
        <f aca="false">IF(F359&lt;=3,"Poor",IF(F359&lt;=6,"Average",IF(F359&lt;=8,"Good","Excellent")))</f>
        <v>Average</v>
      </c>
      <c r="O359" s="7" t="str">
        <f aca="false">IF(G359&lt;=3,"Poor",IF(G359&lt;=6,"Average",IF(G359&lt;=8,"Good","Excellent")))</f>
        <v>Excellent</v>
      </c>
      <c r="P359" s="7" t="str">
        <f aca="false">IF(H359&lt;=5,"Low Frequency",IF(H359&lt;=10,"Moderate",IF(H359&lt;=15,"High","Very High")))</f>
        <v>Moderate</v>
      </c>
      <c r="Q359" s="7" t="str">
        <f aca="false">IF(K359&gt;=90,"Highly Satisfied",IF(K359&gt;=75,"Satisfied",IF(K359&gt;=60,"Neutral","Dissatisfied")))</f>
        <v>Highly Satisfied</v>
      </c>
      <c r="R359" s="7" t="str">
        <f aca="false">UPPER(LEFT(TRIM(J359),1))&amp;LOWER(MID(TRIM(J359),2,100))</f>
        <v>Gold</v>
      </c>
      <c r="S359" s="7" t="str">
        <f aca="false">IF(I359="High","Positive",IF(I359="Medium","Neutral","Negative"))</f>
        <v>Negative</v>
      </c>
      <c r="T359" s="7" t="str">
        <f aca="false">IF(AND(E359&gt;=80000,H359&gt;=15),"Premium",IF(AND(E359&gt;=50000,H359&gt;=10),"Standard","Basic"))</f>
        <v>Basic</v>
      </c>
      <c r="U359" s="7" t="str">
        <f aca="false">IF(AND(F359&gt;=7,G359&gt;=7),"High Quality Experience","Review Needed")</f>
        <v>Review Needed</v>
      </c>
      <c r="V359" s="7" t="str">
        <f aca="false">IF(H359&gt;=10,"Repeat Buyer","Occasional Buyer")</f>
        <v>Occasional Buyer</v>
      </c>
      <c r="W359" s="7" t="str">
        <f aca="false">IF(AND(K359&lt;70,I359="Low"),"At Risk","Stable")</f>
        <v>Stable</v>
      </c>
      <c r="X359" s="7" t="str">
        <f aca="false">IF(AND(K359&lt;75,I359="Low",J359="Bronze"),"Priority Followup","No Action")</f>
        <v>No Action</v>
      </c>
    </row>
    <row r="360" customFormat="false" ht="15" hidden="false" customHeight="false" outlineLevel="0" collapsed="false">
      <c r="A360" s="2" t="n">
        <v>358</v>
      </c>
      <c r="B360" s="2" t="n">
        <v>25</v>
      </c>
      <c r="C360" s="2" t="s">
        <v>17</v>
      </c>
      <c r="D360" s="2" t="s">
        <v>23</v>
      </c>
      <c r="E360" s="2" t="n">
        <v>60769</v>
      </c>
      <c r="F360" s="2" t="n">
        <v>8</v>
      </c>
      <c r="G360" s="2" t="n">
        <v>5</v>
      </c>
      <c r="H360" s="2" t="n">
        <v>7</v>
      </c>
      <c r="I360" s="2" t="s">
        <v>21</v>
      </c>
      <c r="J360" s="2" t="s">
        <v>19</v>
      </c>
      <c r="K360" s="2" t="n">
        <v>90.51</v>
      </c>
      <c r="L360" s="8" t="str">
        <f aca="false">IF(B360&lt;25,"Gen Z",IF(B360&lt;40,"Millennial",IF(B360&lt;55,"Gen X","Baby Boomer")))</f>
        <v>Millennial</v>
      </c>
      <c r="M360" s="8" t="str">
        <f aca="false">IF(E360&lt;50000,"Low Income",IF(E360&lt;80000,"Middle Income",IF(E360&lt;100000,"Upper Middle","High Income")))</f>
        <v>Middle Income</v>
      </c>
      <c r="N360" s="8" t="str">
        <f aca="false">IF(F360&lt;=3,"Poor",IF(F360&lt;=6,"Average",IF(F360&lt;=8,"Good","Excellent")))</f>
        <v>Good</v>
      </c>
      <c r="O360" s="8" t="str">
        <f aca="false">IF(G360&lt;=3,"Poor",IF(G360&lt;=6,"Average",IF(G360&lt;=8,"Good","Excellent")))</f>
        <v>Average</v>
      </c>
      <c r="P360" s="8" t="str">
        <f aca="false">IF(H360&lt;=5,"Low Frequency",IF(H360&lt;=10,"Moderate",IF(H360&lt;=15,"High","Very High")))</f>
        <v>Moderate</v>
      </c>
      <c r="Q360" s="8" t="str">
        <f aca="false">IF(K360&gt;=90,"Highly Satisfied",IF(K360&gt;=75,"Satisfied",IF(K360&gt;=60,"Neutral","Dissatisfied")))</f>
        <v>Highly Satisfied</v>
      </c>
      <c r="R360" s="8" t="str">
        <f aca="false">UPPER(LEFT(TRIM(J360),1))&amp;LOWER(MID(TRIM(J360),2,100))</f>
        <v>Silver</v>
      </c>
      <c r="S360" s="8" t="str">
        <f aca="false">IF(I360="High","Positive",IF(I360="Medium","Neutral","Negative"))</f>
        <v>Positive</v>
      </c>
      <c r="T360" s="8" t="str">
        <f aca="false">IF(AND(E360&gt;=80000,H360&gt;=15),"Premium",IF(AND(E360&gt;=50000,H360&gt;=10),"Standard","Basic"))</f>
        <v>Basic</v>
      </c>
      <c r="U360" s="8" t="str">
        <f aca="false">IF(AND(F360&gt;=7,G360&gt;=7),"High Quality Experience","Review Needed")</f>
        <v>Review Needed</v>
      </c>
      <c r="V360" s="8" t="str">
        <f aca="false">IF(H360&gt;=10,"Repeat Buyer","Occasional Buyer")</f>
        <v>Occasional Buyer</v>
      </c>
      <c r="W360" s="8" t="str">
        <f aca="false">IF(AND(K360&lt;70,I360="Low"),"At Risk","Stable")</f>
        <v>Stable</v>
      </c>
      <c r="X360" s="8" t="str">
        <f aca="false">IF(AND(K360&lt;75,I360="Low",J360="Bronze"),"Priority Followup","No Action")</f>
        <v>No Action</v>
      </c>
    </row>
    <row r="361" customFormat="false" ht="15" hidden="false" customHeight="false" outlineLevel="0" collapsed="false">
      <c r="A361" s="3" t="n">
        <v>359</v>
      </c>
      <c r="B361" s="3" t="n">
        <v>44</v>
      </c>
      <c r="C361" s="3" t="s">
        <v>11</v>
      </c>
      <c r="D361" s="3" t="s">
        <v>18</v>
      </c>
      <c r="E361" s="3" t="n">
        <v>82544</v>
      </c>
      <c r="F361" s="3" t="n">
        <v>5</v>
      </c>
      <c r="G361" s="3" t="n">
        <v>8</v>
      </c>
      <c r="H361" s="3" t="n">
        <v>13</v>
      </c>
      <c r="I361" s="3" t="s">
        <v>21</v>
      </c>
      <c r="J361" s="3" t="s">
        <v>14</v>
      </c>
      <c r="K361" s="3" t="n">
        <v>100</v>
      </c>
      <c r="L361" s="7" t="str">
        <f aca="false">IF(B361&lt;25,"Gen Z",IF(B361&lt;40,"Millennial",IF(B361&lt;55,"Gen X","Baby Boomer")))</f>
        <v>Gen X</v>
      </c>
      <c r="M361" s="7" t="str">
        <f aca="false">IF(E361&lt;50000,"Low Income",IF(E361&lt;80000,"Middle Income",IF(E361&lt;100000,"Upper Middle","High Income")))</f>
        <v>Upper Middle</v>
      </c>
      <c r="N361" s="7" t="str">
        <f aca="false">IF(F361&lt;=3,"Poor",IF(F361&lt;=6,"Average",IF(F361&lt;=8,"Good","Excellent")))</f>
        <v>Average</v>
      </c>
      <c r="O361" s="7" t="str">
        <f aca="false">IF(G361&lt;=3,"Poor",IF(G361&lt;=6,"Average",IF(G361&lt;=8,"Good","Excellent")))</f>
        <v>Good</v>
      </c>
      <c r="P361" s="7" t="str">
        <f aca="false">IF(H361&lt;=5,"Low Frequency",IF(H361&lt;=10,"Moderate",IF(H361&lt;=15,"High","Very High")))</f>
        <v>High</v>
      </c>
      <c r="Q361" s="7" t="str">
        <f aca="false">IF(K361&gt;=90,"Highly Satisfied",IF(K361&gt;=75,"Satisfied",IF(K361&gt;=60,"Neutral","Dissatisfied")))</f>
        <v>Highly Satisfied</v>
      </c>
      <c r="R361" s="7" t="str">
        <f aca="false">UPPER(LEFT(TRIM(J361),1))&amp;LOWER(MID(TRIM(J361),2,100))</f>
        <v>Bronze</v>
      </c>
      <c r="S361" s="7" t="str">
        <f aca="false">IF(I361="High","Positive",IF(I361="Medium","Neutral","Negative"))</f>
        <v>Positive</v>
      </c>
      <c r="T361" s="7" t="str">
        <f aca="false">IF(AND(E361&gt;=80000,H361&gt;=15),"Premium",IF(AND(E361&gt;=50000,H361&gt;=10),"Standard","Basic"))</f>
        <v>Standard</v>
      </c>
      <c r="U361" s="7" t="str">
        <f aca="false">IF(AND(F361&gt;=7,G361&gt;=7),"High Quality Experience","Review Needed")</f>
        <v>Review Needed</v>
      </c>
      <c r="V361" s="7" t="str">
        <f aca="false">IF(H361&gt;=10,"Repeat Buyer","Occasional Buyer")</f>
        <v>Repeat Buyer</v>
      </c>
      <c r="W361" s="7" t="str">
        <f aca="false">IF(AND(K361&lt;70,I361="Low"),"At Risk","Stable")</f>
        <v>Stable</v>
      </c>
      <c r="X361" s="7" t="str">
        <f aca="false">IF(AND(K361&lt;75,I361="Low",J361="Bronze"),"Priority Followup","No Action")</f>
        <v>No Action</v>
      </c>
    </row>
    <row r="362" customFormat="false" ht="15" hidden="false" customHeight="false" outlineLevel="0" collapsed="false">
      <c r="A362" s="2" t="n">
        <v>360</v>
      </c>
      <c r="B362" s="2" t="n">
        <v>44</v>
      </c>
      <c r="C362" s="2" t="s">
        <v>17</v>
      </c>
      <c r="D362" s="2" t="s">
        <v>18</v>
      </c>
      <c r="E362" s="2" t="n">
        <v>35117</v>
      </c>
      <c r="F362" s="2" t="n">
        <v>5</v>
      </c>
      <c r="G362" s="2" t="n">
        <v>1</v>
      </c>
      <c r="H362" s="2" t="n">
        <v>16</v>
      </c>
      <c r="I362" s="2" t="s">
        <v>21</v>
      </c>
      <c r="J362" s="2" t="s">
        <v>14</v>
      </c>
      <c r="K362" s="2" t="n">
        <v>62.5</v>
      </c>
      <c r="L362" s="8" t="str">
        <f aca="false">IF(B362&lt;25,"Gen Z",IF(B362&lt;40,"Millennial",IF(B362&lt;55,"Gen X","Baby Boomer")))</f>
        <v>Gen X</v>
      </c>
      <c r="M362" s="8" t="str">
        <f aca="false">IF(E362&lt;50000,"Low Income",IF(E362&lt;80000,"Middle Income",IF(E362&lt;100000,"Upper Middle","High Income")))</f>
        <v>Low Income</v>
      </c>
      <c r="N362" s="8" t="str">
        <f aca="false">IF(F362&lt;=3,"Poor",IF(F362&lt;=6,"Average",IF(F362&lt;=8,"Good","Excellent")))</f>
        <v>Average</v>
      </c>
      <c r="O362" s="8" t="str">
        <f aca="false">IF(G362&lt;=3,"Poor",IF(G362&lt;=6,"Average",IF(G362&lt;=8,"Good","Excellent")))</f>
        <v>Poor</v>
      </c>
      <c r="P362" s="8" t="str">
        <f aca="false">IF(H362&lt;=5,"Low Frequency",IF(H362&lt;=10,"Moderate",IF(H362&lt;=15,"High","Very High")))</f>
        <v>Very High</v>
      </c>
      <c r="Q362" s="8" t="str">
        <f aca="false">IF(K362&gt;=90,"Highly Satisfied",IF(K362&gt;=75,"Satisfied",IF(K362&gt;=60,"Neutral","Dissatisfied")))</f>
        <v>Neutral</v>
      </c>
      <c r="R362" s="8" t="str">
        <f aca="false">UPPER(LEFT(TRIM(J362),1))&amp;LOWER(MID(TRIM(J362),2,100))</f>
        <v>Bronze</v>
      </c>
      <c r="S362" s="8" t="str">
        <f aca="false">IF(I362="High","Positive",IF(I362="Medium","Neutral","Negative"))</f>
        <v>Positive</v>
      </c>
      <c r="T362" s="8" t="str">
        <f aca="false">IF(AND(E362&gt;=80000,H362&gt;=15),"Premium",IF(AND(E362&gt;=50000,H362&gt;=10),"Standard","Basic"))</f>
        <v>Basic</v>
      </c>
      <c r="U362" s="8" t="str">
        <f aca="false">IF(AND(F362&gt;=7,G362&gt;=7),"High Quality Experience","Review Needed")</f>
        <v>Review Needed</v>
      </c>
      <c r="V362" s="8" t="str">
        <f aca="false">IF(H362&gt;=10,"Repeat Buyer","Occasional Buyer")</f>
        <v>Repeat Buyer</v>
      </c>
      <c r="W362" s="8" t="str">
        <f aca="false">IF(AND(K362&lt;70,I362="Low"),"At Risk","Stable")</f>
        <v>Stable</v>
      </c>
      <c r="X362" s="8" t="str">
        <f aca="false">IF(AND(K362&lt;75,I362="Low",J362="Bronze"),"Priority Followup","No Action")</f>
        <v>No Action</v>
      </c>
    </row>
    <row r="363" customFormat="false" ht="15" hidden="false" customHeight="false" outlineLevel="0" collapsed="false">
      <c r="A363" s="3" t="n">
        <v>361</v>
      </c>
      <c r="B363" s="3" t="n">
        <v>51</v>
      </c>
      <c r="C363" s="3" t="s">
        <v>17</v>
      </c>
      <c r="D363" s="3" t="s">
        <v>18</v>
      </c>
      <c r="E363" s="3" t="n">
        <v>77801</v>
      </c>
      <c r="F363" s="3" t="n">
        <v>9</v>
      </c>
      <c r="G363" s="3" t="n">
        <v>10</v>
      </c>
      <c r="H363" s="3" t="n">
        <v>15</v>
      </c>
      <c r="I363" s="3" t="s">
        <v>21</v>
      </c>
      <c r="J363" s="3" t="s">
        <v>14</v>
      </c>
      <c r="K363" s="3" t="n">
        <v>100</v>
      </c>
      <c r="L363" s="7" t="str">
        <f aca="false">IF(B363&lt;25,"Gen Z",IF(B363&lt;40,"Millennial",IF(B363&lt;55,"Gen X","Baby Boomer")))</f>
        <v>Gen X</v>
      </c>
      <c r="M363" s="7" t="str">
        <f aca="false">IF(E363&lt;50000,"Low Income",IF(E363&lt;80000,"Middle Income",IF(E363&lt;100000,"Upper Middle","High Income")))</f>
        <v>Middle Income</v>
      </c>
      <c r="N363" s="7" t="str">
        <f aca="false">IF(F363&lt;=3,"Poor",IF(F363&lt;=6,"Average",IF(F363&lt;=8,"Good","Excellent")))</f>
        <v>Excellent</v>
      </c>
      <c r="O363" s="7" t="str">
        <f aca="false">IF(G363&lt;=3,"Poor",IF(G363&lt;=6,"Average",IF(G363&lt;=8,"Good","Excellent")))</f>
        <v>Excellent</v>
      </c>
      <c r="P363" s="7" t="str">
        <f aca="false">IF(H363&lt;=5,"Low Frequency",IF(H363&lt;=10,"Moderate",IF(H363&lt;=15,"High","Very High")))</f>
        <v>High</v>
      </c>
      <c r="Q363" s="7" t="str">
        <f aca="false">IF(K363&gt;=90,"Highly Satisfied",IF(K363&gt;=75,"Satisfied",IF(K363&gt;=60,"Neutral","Dissatisfied")))</f>
        <v>Highly Satisfied</v>
      </c>
      <c r="R363" s="7" t="str">
        <f aca="false">UPPER(LEFT(TRIM(J363),1))&amp;LOWER(MID(TRIM(J363),2,100))</f>
        <v>Bronze</v>
      </c>
      <c r="S363" s="7" t="str">
        <f aca="false">IF(I363="High","Positive",IF(I363="Medium","Neutral","Negative"))</f>
        <v>Positive</v>
      </c>
      <c r="T363" s="7" t="str">
        <f aca="false">IF(AND(E363&gt;=80000,H363&gt;=15),"Premium",IF(AND(E363&gt;=50000,H363&gt;=10),"Standard","Basic"))</f>
        <v>Standard</v>
      </c>
      <c r="U363" s="7" t="str">
        <f aca="false">IF(AND(F363&gt;=7,G363&gt;=7),"High Quality Experience","Review Needed")</f>
        <v>High Quality Experience</v>
      </c>
      <c r="V363" s="7" t="str">
        <f aca="false">IF(H363&gt;=10,"Repeat Buyer","Occasional Buyer")</f>
        <v>Repeat Buyer</v>
      </c>
      <c r="W363" s="7" t="str">
        <f aca="false">IF(AND(K363&lt;70,I363="Low"),"At Risk","Stable")</f>
        <v>Stable</v>
      </c>
      <c r="X363" s="7" t="str">
        <f aca="false">IF(AND(K363&lt;75,I363="Low",J363="Bronze"),"Priority Followup","No Action")</f>
        <v>No Action</v>
      </c>
    </row>
    <row r="364" customFormat="false" ht="15" hidden="false" customHeight="false" outlineLevel="0" collapsed="false">
      <c r="A364" s="2" t="n">
        <v>362</v>
      </c>
      <c r="B364" s="2" t="n">
        <v>38</v>
      </c>
      <c r="C364" s="2" t="s">
        <v>17</v>
      </c>
      <c r="D364" s="2" t="s">
        <v>18</v>
      </c>
      <c r="E364" s="2" t="n">
        <v>105428</v>
      </c>
      <c r="F364" s="2" t="n">
        <v>6</v>
      </c>
      <c r="G364" s="2" t="n">
        <v>8</v>
      </c>
      <c r="H364" s="2" t="n">
        <v>19</v>
      </c>
      <c r="I364" s="2" t="s">
        <v>15</v>
      </c>
      <c r="J364" s="2" t="s">
        <v>16</v>
      </c>
      <c r="K364" s="2" t="n">
        <v>100</v>
      </c>
      <c r="L364" s="8" t="str">
        <f aca="false">IF(B364&lt;25,"Gen Z",IF(B364&lt;40,"Millennial",IF(B364&lt;55,"Gen X","Baby Boomer")))</f>
        <v>Millennial</v>
      </c>
      <c r="M364" s="8" t="str">
        <f aca="false">IF(E364&lt;50000,"Low Income",IF(E364&lt;80000,"Middle Income",IF(E364&lt;100000,"Upper Middle","High Income")))</f>
        <v>High Income</v>
      </c>
      <c r="N364" s="8" t="str">
        <f aca="false">IF(F364&lt;=3,"Poor",IF(F364&lt;=6,"Average",IF(F364&lt;=8,"Good","Excellent")))</f>
        <v>Average</v>
      </c>
      <c r="O364" s="8" t="str">
        <f aca="false">IF(G364&lt;=3,"Poor",IF(G364&lt;=6,"Average",IF(G364&lt;=8,"Good","Excellent")))</f>
        <v>Good</v>
      </c>
      <c r="P364" s="8" t="str">
        <f aca="false">IF(H364&lt;=5,"Low Frequency",IF(H364&lt;=10,"Moderate",IF(H364&lt;=15,"High","Very High")))</f>
        <v>Very High</v>
      </c>
      <c r="Q364" s="8" t="str">
        <f aca="false">IF(K364&gt;=90,"Highly Satisfied",IF(K364&gt;=75,"Satisfied",IF(K364&gt;=60,"Neutral","Dissatisfied")))</f>
        <v>Highly Satisfied</v>
      </c>
      <c r="R364" s="8" t="str">
        <f aca="false">UPPER(LEFT(TRIM(J364),1))&amp;LOWER(MID(TRIM(J364),2,100))</f>
        <v>Gold</v>
      </c>
      <c r="S364" s="8" t="str">
        <f aca="false">IF(I364="High","Positive",IF(I364="Medium","Neutral","Negative"))</f>
        <v>Neutral</v>
      </c>
      <c r="T364" s="8" t="str">
        <f aca="false">IF(AND(E364&gt;=80000,H364&gt;=15),"Premium",IF(AND(E364&gt;=50000,H364&gt;=10),"Standard","Basic"))</f>
        <v>Premium</v>
      </c>
      <c r="U364" s="8" t="str">
        <f aca="false">IF(AND(F364&gt;=7,G364&gt;=7),"High Quality Experience","Review Needed")</f>
        <v>Review Needed</v>
      </c>
      <c r="V364" s="8" t="str">
        <f aca="false">IF(H364&gt;=10,"Repeat Buyer","Occasional Buyer")</f>
        <v>Repeat Buyer</v>
      </c>
      <c r="W364" s="8" t="str">
        <f aca="false">IF(AND(K364&lt;70,I364="Low"),"At Risk","Stable")</f>
        <v>Stable</v>
      </c>
      <c r="X364" s="8" t="str">
        <f aca="false">IF(AND(K364&lt;75,I364="Low",J364="Bronze"),"Priority Followup","No Action")</f>
        <v>No Action</v>
      </c>
    </row>
    <row r="365" customFormat="false" ht="15" hidden="false" customHeight="false" outlineLevel="0" collapsed="false">
      <c r="A365" s="3" t="n">
        <v>363</v>
      </c>
      <c r="B365" s="3" t="n">
        <v>47</v>
      </c>
      <c r="C365" s="3" t="s">
        <v>11</v>
      </c>
      <c r="D365" s="3" t="s">
        <v>23</v>
      </c>
      <c r="E365" s="3" t="n">
        <v>68276</v>
      </c>
      <c r="F365" s="3" t="n">
        <v>9</v>
      </c>
      <c r="G365" s="3" t="n">
        <v>2</v>
      </c>
      <c r="H365" s="3" t="n">
        <v>11</v>
      </c>
      <c r="I365" s="3" t="s">
        <v>13</v>
      </c>
      <c r="J365" s="3" t="s">
        <v>14</v>
      </c>
      <c r="K365" s="3" t="n">
        <v>96.86</v>
      </c>
      <c r="L365" s="7" t="str">
        <f aca="false">IF(B365&lt;25,"Gen Z",IF(B365&lt;40,"Millennial",IF(B365&lt;55,"Gen X","Baby Boomer")))</f>
        <v>Gen X</v>
      </c>
      <c r="M365" s="7" t="str">
        <f aca="false">IF(E365&lt;50000,"Low Income",IF(E365&lt;80000,"Middle Income",IF(E365&lt;100000,"Upper Middle","High Income")))</f>
        <v>Middle Income</v>
      </c>
      <c r="N365" s="7" t="str">
        <f aca="false">IF(F365&lt;=3,"Poor",IF(F365&lt;=6,"Average",IF(F365&lt;=8,"Good","Excellent")))</f>
        <v>Excellent</v>
      </c>
      <c r="O365" s="7" t="str">
        <f aca="false">IF(G365&lt;=3,"Poor",IF(G365&lt;=6,"Average",IF(G365&lt;=8,"Good","Excellent")))</f>
        <v>Poor</v>
      </c>
      <c r="P365" s="7" t="str">
        <f aca="false">IF(H365&lt;=5,"Low Frequency",IF(H365&lt;=10,"Moderate",IF(H365&lt;=15,"High","Very High")))</f>
        <v>High</v>
      </c>
      <c r="Q365" s="7" t="str">
        <f aca="false">IF(K365&gt;=90,"Highly Satisfied",IF(K365&gt;=75,"Satisfied",IF(K365&gt;=60,"Neutral","Dissatisfied")))</f>
        <v>Highly Satisfied</v>
      </c>
      <c r="R365" s="7" t="str">
        <f aca="false">UPPER(LEFT(TRIM(J365),1))&amp;LOWER(MID(TRIM(J365),2,100))</f>
        <v>Bronze</v>
      </c>
      <c r="S365" s="7" t="str">
        <f aca="false">IF(I365="High","Positive",IF(I365="Medium","Neutral","Negative"))</f>
        <v>Negative</v>
      </c>
      <c r="T365" s="7" t="str">
        <f aca="false">IF(AND(E365&gt;=80000,H365&gt;=15),"Premium",IF(AND(E365&gt;=50000,H365&gt;=10),"Standard","Basic"))</f>
        <v>Standard</v>
      </c>
      <c r="U365" s="7" t="str">
        <f aca="false">IF(AND(F365&gt;=7,G365&gt;=7),"High Quality Experience","Review Needed")</f>
        <v>Review Needed</v>
      </c>
      <c r="V365" s="7" t="str">
        <f aca="false">IF(H365&gt;=10,"Repeat Buyer","Occasional Buyer")</f>
        <v>Repeat Buyer</v>
      </c>
      <c r="W365" s="7" t="str">
        <f aca="false">IF(AND(K365&lt;70,I365="Low"),"At Risk","Stable")</f>
        <v>Stable</v>
      </c>
      <c r="X365" s="7" t="str">
        <f aca="false">IF(AND(K365&lt;75,I365="Low",J365="Bronze"),"Priority Followup","No Action")</f>
        <v>No Action</v>
      </c>
    </row>
    <row r="366" customFormat="false" ht="15" hidden="false" customHeight="false" outlineLevel="0" collapsed="false">
      <c r="A366" s="2" t="n">
        <v>364</v>
      </c>
      <c r="B366" s="2" t="n">
        <v>50</v>
      </c>
      <c r="C366" s="2" t="s">
        <v>11</v>
      </c>
      <c r="D366" s="2" t="s">
        <v>23</v>
      </c>
      <c r="E366" s="2" t="n">
        <v>34706</v>
      </c>
      <c r="F366" s="2" t="n">
        <v>10</v>
      </c>
      <c r="G366" s="2" t="n">
        <v>2</v>
      </c>
      <c r="H366" s="2" t="n">
        <v>13</v>
      </c>
      <c r="I366" s="2" t="s">
        <v>15</v>
      </c>
      <c r="J366" s="2" t="s">
        <v>14</v>
      </c>
      <c r="K366" s="2" t="n">
        <v>100</v>
      </c>
      <c r="L366" s="8" t="str">
        <f aca="false">IF(B366&lt;25,"Gen Z",IF(B366&lt;40,"Millennial",IF(B366&lt;55,"Gen X","Baby Boomer")))</f>
        <v>Gen X</v>
      </c>
      <c r="M366" s="8" t="str">
        <f aca="false">IF(E366&lt;50000,"Low Income",IF(E366&lt;80000,"Middle Income",IF(E366&lt;100000,"Upper Middle","High Income")))</f>
        <v>Low Income</v>
      </c>
      <c r="N366" s="8" t="str">
        <f aca="false">IF(F366&lt;=3,"Poor",IF(F366&lt;=6,"Average",IF(F366&lt;=8,"Good","Excellent")))</f>
        <v>Excellent</v>
      </c>
      <c r="O366" s="8" t="str">
        <f aca="false">IF(G366&lt;=3,"Poor",IF(G366&lt;=6,"Average",IF(G366&lt;=8,"Good","Excellent")))</f>
        <v>Poor</v>
      </c>
      <c r="P366" s="8" t="str">
        <f aca="false">IF(H366&lt;=5,"Low Frequency",IF(H366&lt;=10,"Moderate",IF(H366&lt;=15,"High","Very High")))</f>
        <v>High</v>
      </c>
      <c r="Q366" s="8" t="str">
        <f aca="false">IF(K366&gt;=90,"Highly Satisfied",IF(K366&gt;=75,"Satisfied",IF(K366&gt;=60,"Neutral","Dissatisfied")))</f>
        <v>Highly Satisfied</v>
      </c>
      <c r="R366" s="8" t="str">
        <f aca="false">UPPER(LEFT(TRIM(J366),1))&amp;LOWER(MID(TRIM(J366),2,100))</f>
        <v>Bronze</v>
      </c>
      <c r="S366" s="8" t="str">
        <f aca="false">IF(I366="High","Positive",IF(I366="Medium","Neutral","Negative"))</f>
        <v>Neutral</v>
      </c>
      <c r="T366" s="8" t="str">
        <f aca="false">IF(AND(E366&gt;=80000,H366&gt;=15),"Premium",IF(AND(E366&gt;=50000,H366&gt;=10),"Standard","Basic"))</f>
        <v>Basic</v>
      </c>
      <c r="U366" s="8" t="str">
        <f aca="false">IF(AND(F366&gt;=7,G366&gt;=7),"High Quality Experience","Review Needed")</f>
        <v>Review Needed</v>
      </c>
      <c r="V366" s="8" t="str">
        <f aca="false">IF(H366&gt;=10,"Repeat Buyer","Occasional Buyer")</f>
        <v>Repeat Buyer</v>
      </c>
      <c r="W366" s="8" t="str">
        <f aca="false">IF(AND(K366&lt;70,I366="Low"),"At Risk","Stable")</f>
        <v>Stable</v>
      </c>
      <c r="X366" s="8" t="str">
        <f aca="false">IF(AND(K366&lt;75,I366="Low",J366="Bronze"),"Priority Followup","No Action")</f>
        <v>No Action</v>
      </c>
    </row>
    <row r="367" customFormat="false" ht="15" hidden="false" customHeight="false" outlineLevel="0" collapsed="false">
      <c r="A367" s="3" t="n">
        <v>365</v>
      </c>
      <c r="B367" s="3" t="n">
        <v>45</v>
      </c>
      <c r="C367" s="3" t="s">
        <v>11</v>
      </c>
      <c r="D367" s="3" t="s">
        <v>18</v>
      </c>
      <c r="E367" s="3" t="n">
        <v>39845</v>
      </c>
      <c r="F367" s="3" t="n">
        <v>9</v>
      </c>
      <c r="G367" s="3" t="n">
        <v>4</v>
      </c>
      <c r="H367" s="3" t="n">
        <v>3</v>
      </c>
      <c r="I367" s="3" t="s">
        <v>15</v>
      </c>
      <c r="J367" s="3" t="s">
        <v>16</v>
      </c>
      <c r="K367" s="3" t="n">
        <v>100</v>
      </c>
      <c r="L367" s="7" t="str">
        <f aca="false">IF(B367&lt;25,"Gen Z",IF(B367&lt;40,"Millennial",IF(B367&lt;55,"Gen X","Baby Boomer")))</f>
        <v>Gen X</v>
      </c>
      <c r="M367" s="7" t="str">
        <f aca="false">IF(E367&lt;50000,"Low Income",IF(E367&lt;80000,"Middle Income",IF(E367&lt;100000,"Upper Middle","High Income")))</f>
        <v>Low Income</v>
      </c>
      <c r="N367" s="7" t="str">
        <f aca="false">IF(F367&lt;=3,"Poor",IF(F367&lt;=6,"Average",IF(F367&lt;=8,"Good","Excellent")))</f>
        <v>Excellent</v>
      </c>
      <c r="O367" s="7" t="str">
        <f aca="false">IF(G367&lt;=3,"Poor",IF(G367&lt;=6,"Average",IF(G367&lt;=8,"Good","Excellent")))</f>
        <v>Average</v>
      </c>
      <c r="P367" s="7" t="str">
        <f aca="false">IF(H367&lt;=5,"Low Frequency",IF(H367&lt;=10,"Moderate",IF(H367&lt;=15,"High","Very High")))</f>
        <v>Low Frequency</v>
      </c>
      <c r="Q367" s="7" t="str">
        <f aca="false">IF(K367&gt;=90,"Highly Satisfied",IF(K367&gt;=75,"Satisfied",IF(K367&gt;=60,"Neutral","Dissatisfied")))</f>
        <v>Highly Satisfied</v>
      </c>
      <c r="R367" s="7" t="str">
        <f aca="false">UPPER(LEFT(TRIM(J367),1))&amp;LOWER(MID(TRIM(J367),2,100))</f>
        <v>Gold</v>
      </c>
      <c r="S367" s="7" t="str">
        <f aca="false">IF(I367="High","Positive",IF(I367="Medium","Neutral","Negative"))</f>
        <v>Neutral</v>
      </c>
      <c r="T367" s="7" t="str">
        <f aca="false">IF(AND(E367&gt;=80000,H367&gt;=15),"Premium",IF(AND(E367&gt;=50000,H367&gt;=10),"Standard","Basic"))</f>
        <v>Basic</v>
      </c>
      <c r="U367" s="7" t="str">
        <f aca="false">IF(AND(F367&gt;=7,G367&gt;=7),"High Quality Experience","Review Needed")</f>
        <v>Review Needed</v>
      </c>
      <c r="V367" s="7" t="str">
        <f aca="false">IF(H367&gt;=10,"Repeat Buyer","Occasional Buyer")</f>
        <v>Occasional Buyer</v>
      </c>
      <c r="W367" s="7" t="str">
        <f aca="false">IF(AND(K367&lt;70,I367="Low"),"At Risk","Stable")</f>
        <v>Stable</v>
      </c>
      <c r="X367" s="7" t="str">
        <f aca="false">IF(AND(K367&lt;75,I367="Low",J367="Bronze"),"Priority Followup","No Action")</f>
        <v>No Action</v>
      </c>
    </row>
    <row r="368" customFormat="false" ht="15" hidden="false" customHeight="false" outlineLevel="0" collapsed="false">
      <c r="A368" s="2" t="n">
        <v>366</v>
      </c>
      <c r="B368" s="2" t="n">
        <v>64</v>
      </c>
      <c r="C368" s="2" t="s">
        <v>17</v>
      </c>
      <c r="D368" s="2" t="s">
        <v>18</v>
      </c>
      <c r="E368" s="2" t="n">
        <v>59941</v>
      </c>
      <c r="F368" s="2" t="n">
        <v>4</v>
      </c>
      <c r="G368" s="2" t="n">
        <v>3</v>
      </c>
      <c r="H368" s="2" t="n">
        <v>20</v>
      </c>
      <c r="I368" s="2" t="s">
        <v>21</v>
      </c>
      <c r="J368" s="2" t="s">
        <v>16</v>
      </c>
      <c r="K368" s="2" t="n">
        <v>81.1</v>
      </c>
      <c r="L368" s="8" t="str">
        <f aca="false">IF(B368&lt;25,"Gen Z",IF(B368&lt;40,"Millennial",IF(B368&lt;55,"Gen X","Baby Boomer")))</f>
        <v>Baby Boomer</v>
      </c>
      <c r="M368" s="8" t="str">
        <f aca="false">IF(E368&lt;50000,"Low Income",IF(E368&lt;80000,"Middle Income",IF(E368&lt;100000,"Upper Middle","High Income")))</f>
        <v>Middle Income</v>
      </c>
      <c r="N368" s="8" t="str">
        <f aca="false">IF(F368&lt;=3,"Poor",IF(F368&lt;=6,"Average",IF(F368&lt;=8,"Good","Excellent")))</f>
        <v>Average</v>
      </c>
      <c r="O368" s="8" t="str">
        <f aca="false">IF(G368&lt;=3,"Poor",IF(G368&lt;=6,"Average",IF(G368&lt;=8,"Good","Excellent")))</f>
        <v>Poor</v>
      </c>
      <c r="P368" s="8" t="str">
        <f aca="false">IF(H368&lt;=5,"Low Frequency",IF(H368&lt;=10,"Moderate",IF(H368&lt;=15,"High","Very High")))</f>
        <v>Very High</v>
      </c>
      <c r="Q368" s="8" t="str">
        <f aca="false">IF(K368&gt;=90,"Highly Satisfied",IF(K368&gt;=75,"Satisfied",IF(K368&gt;=60,"Neutral","Dissatisfied")))</f>
        <v>Satisfied</v>
      </c>
      <c r="R368" s="8" t="str">
        <f aca="false">UPPER(LEFT(TRIM(J368),1))&amp;LOWER(MID(TRIM(J368),2,100))</f>
        <v>Gold</v>
      </c>
      <c r="S368" s="8" t="str">
        <f aca="false">IF(I368="High","Positive",IF(I368="Medium","Neutral","Negative"))</f>
        <v>Positive</v>
      </c>
      <c r="T368" s="8" t="str">
        <f aca="false">IF(AND(E368&gt;=80000,H368&gt;=15),"Premium",IF(AND(E368&gt;=50000,H368&gt;=10),"Standard","Basic"))</f>
        <v>Standard</v>
      </c>
      <c r="U368" s="8" t="str">
        <f aca="false">IF(AND(F368&gt;=7,G368&gt;=7),"High Quality Experience","Review Needed")</f>
        <v>Review Needed</v>
      </c>
      <c r="V368" s="8" t="str">
        <f aca="false">IF(H368&gt;=10,"Repeat Buyer","Occasional Buyer")</f>
        <v>Repeat Buyer</v>
      </c>
      <c r="W368" s="8" t="str">
        <f aca="false">IF(AND(K368&lt;70,I368="Low"),"At Risk","Stable")</f>
        <v>Stable</v>
      </c>
      <c r="X368" s="8" t="str">
        <f aca="false">IF(AND(K368&lt;75,I368="Low",J368="Bronze"),"Priority Followup","No Action")</f>
        <v>No Action</v>
      </c>
    </row>
    <row r="369" customFormat="false" ht="15" hidden="false" customHeight="false" outlineLevel="0" collapsed="false">
      <c r="A369" s="3" t="n">
        <v>367</v>
      </c>
      <c r="B369" s="3" t="n">
        <v>50</v>
      </c>
      <c r="C369" s="3" t="s">
        <v>17</v>
      </c>
      <c r="D369" s="3" t="s">
        <v>20</v>
      </c>
      <c r="E369" s="3" t="n">
        <v>73929</v>
      </c>
      <c r="F369" s="3" t="n">
        <v>3</v>
      </c>
      <c r="G369" s="3" t="n">
        <v>9</v>
      </c>
      <c r="H369" s="3" t="n">
        <v>12</v>
      </c>
      <c r="I369" s="3" t="s">
        <v>15</v>
      </c>
      <c r="J369" s="3" t="s">
        <v>14</v>
      </c>
      <c r="K369" s="3" t="n">
        <v>100</v>
      </c>
      <c r="L369" s="7" t="str">
        <f aca="false">IF(B369&lt;25,"Gen Z",IF(B369&lt;40,"Millennial",IF(B369&lt;55,"Gen X","Baby Boomer")))</f>
        <v>Gen X</v>
      </c>
      <c r="M369" s="7" t="str">
        <f aca="false">IF(E369&lt;50000,"Low Income",IF(E369&lt;80000,"Middle Income",IF(E369&lt;100000,"Upper Middle","High Income")))</f>
        <v>Middle Income</v>
      </c>
      <c r="N369" s="7" t="str">
        <f aca="false">IF(F369&lt;=3,"Poor",IF(F369&lt;=6,"Average",IF(F369&lt;=8,"Good","Excellent")))</f>
        <v>Poor</v>
      </c>
      <c r="O369" s="7" t="str">
        <f aca="false">IF(G369&lt;=3,"Poor",IF(G369&lt;=6,"Average",IF(G369&lt;=8,"Good","Excellent")))</f>
        <v>Excellent</v>
      </c>
      <c r="P369" s="7" t="str">
        <f aca="false">IF(H369&lt;=5,"Low Frequency",IF(H369&lt;=10,"Moderate",IF(H369&lt;=15,"High","Very High")))</f>
        <v>High</v>
      </c>
      <c r="Q369" s="7" t="str">
        <f aca="false">IF(K369&gt;=90,"Highly Satisfied",IF(K369&gt;=75,"Satisfied",IF(K369&gt;=60,"Neutral","Dissatisfied")))</f>
        <v>Highly Satisfied</v>
      </c>
      <c r="R369" s="7" t="str">
        <f aca="false">UPPER(LEFT(TRIM(J369),1))&amp;LOWER(MID(TRIM(J369),2,100))</f>
        <v>Bronze</v>
      </c>
      <c r="S369" s="7" t="str">
        <f aca="false">IF(I369="High","Positive",IF(I369="Medium","Neutral","Negative"))</f>
        <v>Neutral</v>
      </c>
      <c r="T369" s="7" t="str">
        <f aca="false">IF(AND(E369&gt;=80000,H369&gt;=15),"Premium",IF(AND(E369&gt;=50000,H369&gt;=10),"Standard","Basic"))</f>
        <v>Standard</v>
      </c>
      <c r="U369" s="7" t="str">
        <f aca="false">IF(AND(F369&gt;=7,G369&gt;=7),"High Quality Experience","Review Needed")</f>
        <v>Review Needed</v>
      </c>
      <c r="V369" s="7" t="str">
        <f aca="false">IF(H369&gt;=10,"Repeat Buyer","Occasional Buyer")</f>
        <v>Repeat Buyer</v>
      </c>
      <c r="W369" s="7" t="str">
        <f aca="false">IF(AND(K369&lt;70,I369="Low"),"At Risk","Stable")</f>
        <v>Stable</v>
      </c>
      <c r="X369" s="7" t="str">
        <f aca="false">IF(AND(K369&lt;75,I369="Low",J369="Bronze"),"Priority Followup","No Action")</f>
        <v>No Action</v>
      </c>
    </row>
    <row r="370" customFormat="false" ht="15" hidden="false" customHeight="false" outlineLevel="0" collapsed="false">
      <c r="A370" s="2" t="n">
        <v>368</v>
      </c>
      <c r="B370" s="2" t="n">
        <v>22</v>
      </c>
      <c r="C370" s="2" t="s">
        <v>11</v>
      </c>
      <c r="D370" s="2" t="s">
        <v>22</v>
      </c>
      <c r="E370" s="2" t="n">
        <v>61529</v>
      </c>
      <c r="F370" s="2" t="n">
        <v>7</v>
      </c>
      <c r="G370" s="2" t="n">
        <v>10</v>
      </c>
      <c r="H370" s="2" t="n">
        <v>6</v>
      </c>
      <c r="I370" s="2" t="s">
        <v>15</v>
      </c>
      <c r="J370" s="2" t="s">
        <v>19</v>
      </c>
      <c r="K370" s="2" t="n">
        <v>100</v>
      </c>
      <c r="L370" s="8" t="str">
        <f aca="false">IF(B370&lt;25,"Gen Z",IF(B370&lt;40,"Millennial",IF(B370&lt;55,"Gen X","Baby Boomer")))</f>
        <v>Gen Z</v>
      </c>
      <c r="M370" s="8" t="str">
        <f aca="false">IF(E370&lt;50000,"Low Income",IF(E370&lt;80000,"Middle Income",IF(E370&lt;100000,"Upper Middle","High Income")))</f>
        <v>Middle Income</v>
      </c>
      <c r="N370" s="8" t="str">
        <f aca="false">IF(F370&lt;=3,"Poor",IF(F370&lt;=6,"Average",IF(F370&lt;=8,"Good","Excellent")))</f>
        <v>Good</v>
      </c>
      <c r="O370" s="8" t="str">
        <f aca="false">IF(G370&lt;=3,"Poor",IF(G370&lt;=6,"Average",IF(G370&lt;=8,"Good","Excellent")))</f>
        <v>Excellent</v>
      </c>
      <c r="P370" s="8" t="str">
        <f aca="false">IF(H370&lt;=5,"Low Frequency",IF(H370&lt;=10,"Moderate",IF(H370&lt;=15,"High","Very High")))</f>
        <v>Moderate</v>
      </c>
      <c r="Q370" s="8" t="str">
        <f aca="false">IF(K370&gt;=90,"Highly Satisfied",IF(K370&gt;=75,"Satisfied",IF(K370&gt;=60,"Neutral","Dissatisfied")))</f>
        <v>Highly Satisfied</v>
      </c>
      <c r="R370" s="8" t="str">
        <f aca="false">UPPER(LEFT(TRIM(J370),1))&amp;LOWER(MID(TRIM(J370),2,100))</f>
        <v>Silver</v>
      </c>
      <c r="S370" s="8" t="str">
        <f aca="false">IF(I370="High","Positive",IF(I370="Medium","Neutral","Negative"))</f>
        <v>Neutral</v>
      </c>
      <c r="T370" s="8" t="str">
        <f aca="false">IF(AND(E370&gt;=80000,H370&gt;=15),"Premium",IF(AND(E370&gt;=50000,H370&gt;=10),"Standard","Basic"))</f>
        <v>Basic</v>
      </c>
      <c r="U370" s="8" t="str">
        <f aca="false">IF(AND(F370&gt;=7,G370&gt;=7),"High Quality Experience","Review Needed")</f>
        <v>High Quality Experience</v>
      </c>
      <c r="V370" s="8" t="str">
        <f aca="false">IF(H370&gt;=10,"Repeat Buyer","Occasional Buyer")</f>
        <v>Occasional Buyer</v>
      </c>
      <c r="W370" s="8" t="str">
        <f aca="false">IF(AND(K370&lt;70,I370="Low"),"At Risk","Stable")</f>
        <v>Stable</v>
      </c>
      <c r="X370" s="8" t="str">
        <f aca="false">IF(AND(K370&lt;75,I370="Low",J370="Bronze"),"Priority Followup","No Action")</f>
        <v>No Action</v>
      </c>
    </row>
    <row r="371" customFormat="false" ht="15" hidden="false" customHeight="false" outlineLevel="0" collapsed="false">
      <c r="A371" s="3" t="n">
        <v>369</v>
      </c>
      <c r="B371" s="3" t="n">
        <v>65</v>
      </c>
      <c r="C371" s="3" t="s">
        <v>17</v>
      </c>
      <c r="D371" s="3" t="s">
        <v>20</v>
      </c>
      <c r="E371" s="3" t="n">
        <v>68554</v>
      </c>
      <c r="F371" s="3" t="n">
        <v>4</v>
      </c>
      <c r="G371" s="3" t="n">
        <v>3</v>
      </c>
      <c r="H371" s="3" t="n">
        <v>3</v>
      </c>
      <c r="I371" s="3" t="s">
        <v>15</v>
      </c>
      <c r="J371" s="3" t="s">
        <v>14</v>
      </c>
      <c r="K371" s="3" t="n">
        <v>85.45</v>
      </c>
      <c r="L371" s="7" t="str">
        <f aca="false">IF(B371&lt;25,"Gen Z",IF(B371&lt;40,"Millennial",IF(B371&lt;55,"Gen X","Baby Boomer")))</f>
        <v>Baby Boomer</v>
      </c>
      <c r="M371" s="7" t="str">
        <f aca="false">IF(E371&lt;50000,"Low Income",IF(E371&lt;80000,"Middle Income",IF(E371&lt;100000,"Upper Middle","High Income")))</f>
        <v>Middle Income</v>
      </c>
      <c r="N371" s="7" t="str">
        <f aca="false">IF(F371&lt;=3,"Poor",IF(F371&lt;=6,"Average",IF(F371&lt;=8,"Good","Excellent")))</f>
        <v>Average</v>
      </c>
      <c r="O371" s="7" t="str">
        <f aca="false">IF(G371&lt;=3,"Poor",IF(G371&lt;=6,"Average",IF(G371&lt;=8,"Good","Excellent")))</f>
        <v>Poor</v>
      </c>
      <c r="P371" s="7" t="str">
        <f aca="false">IF(H371&lt;=5,"Low Frequency",IF(H371&lt;=10,"Moderate",IF(H371&lt;=15,"High","Very High")))</f>
        <v>Low Frequency</v>
      </c>
      <c r="Q371" s="7" t="str">
        <f aca="false">IF(K371&gt;=90,"Highly Satisfied",IF(K371&gt;=75,"Satisfied",IF(K371&gt;=60,"Neutral","Dissatisfied")))</f>
        <v>Satisfied</v>
      </c>
      <c r="R371" s="7" t="str">
        <f aca="false">UPPER(LEFT(TRIM(J371),1))&amp;LOWER(MID(TRIM(J371),2,100))</f>
        <v>Bronze</v>
      </c>
      <c r="S371" s="7" t="str">
        <f aca="false">IF(I371="High","Positive",IF(I371="Medium","Neutral","Negative"))</f>
        <v>Neutral</v>
      </c>
      <c r="T371" s="7" t="str">
        <f aca="false">IF(AND(E371&gt;=80000,H371&gt;=15),"Premium",IF(AND(E371&gt;=50000,H371&gt;=10),"Standard","Basic"))</f>
        <v>Basic</v>
      </c>
      <c r="U371" s="7" t="str">
        <f aca="false">IF(AND(F371&gt;=7,G371&gt;=7),"High Quality Experience","Review Needed")</f>
        <v>Review Needed</v>
      </c>
      <c r="V371" s="7" t="str">
        <f aca="false">IF(H371&gt;=10,"Repeat Buyer","Occasional Buyer")</f>
        <v>Occasional Buyer</v>
      </c>
      <c r="W371" s="7" t="str">
        <f aca="false">IF(AND(K371&lt;70,I371="Low"),"At Risk","Stable")</f>
        <v>Stable</v>
      </c>
      <c r="X371" s="7" t="str">
        <f aca="false">IF(AND(K371&lt;75,I371="Low",J371="Bronze"),"Priority Followup","No Action")</f>
        <v>No Action</v>
      </c>
    </row>
    <row r="372" customFormat="false" ht="15" hidden="false" customHeight="false" outlineLevel="0" collapsed="false">
      <c r="A372" s="2" t="n">
        <v>370</v>
      </c>
      <c r="B372" s="2" t="n">
        <v>36</v>
      </c>
      <c r="C372" s="2" t="s">
        <v>17</v>
      </c>
      <c r="D372" s="2" t="s">
        <v>22</v>
      </c>
      <c r="E372" s="2" t="n">
        <v>115941</v>
      </c>
      <c r="F372" s="2" t="n">
        <v>6</v>
      </c>
      <c r="G372" s="2" t="n">
        <v>9</v>
      </c>
      <c r="H372" s="2" t="n">
        <v>6</v>
      </c>
      <c r="I372" s="2" t="s">
        <v>13</v>
      </c>
      <c r="J372" s="2" t="s">
        <v>16</v>
      </c>
      <c r="K372" s="2" t="n">
        <v>100</v>
      </c>
      <c r="L372" s="8" t="str">
        <f aca="false">IF(B372&lt;25,"Gen Z",IF(B372&lt;40,"Millennial",IF(B372&lt;55,"Gen X","Baby Boomer")))</f>
        <v>Millennial</v>
      </c>
      <c r="M372" s="8" t="str">
        <f aca="false">IF(E372&lt;50000,"Low Income",IF(E372&lt;80000,"Middle Income",IF(E372&lt;100000,"Upper Middle","High Income")))</f>
        <v>High Income</v>
      </c>
      <c r="N372" s="8" t="str">
        <f aca="false">IF(F372&lt;=3,"Poor",IF(F372&lt;=6,"Average",IF(F372&lt;=8,"Good","Excellent")))</f>
        <v>Average</v>
      </c>
      <c r="O372" s="8" t="str">
        <f aca="false">IF(G372&lt;=3,"Poor",IF(G372&lt;=6,"Average",IF(G372&lt;=8,"Good","Excellent")))</f>
        <v>Excellent</v>
      </c>
      <c r="P372" s="8" t="str">
        <f aca="false">IF(H372&lt;=5,"Low Frequency",IF(H372&lt;=10,"Moderate",IF(H372&lt;=15,"High","Very High")))</f>
        <v>Moderate</v>
      </c>
      <c r="Q372" s="8" t="str">
        <f aca="false">IF(K372&gt;=90,"Highly Satisfied",IF(K372&gt;=75,"Satisfied",IF(K372&gt;=60,"Neutral","Dissatisfied")))</f>
        <v>Highly Satisfied</v>
      </c>
      <c r="R372" s="8" t="str">
        <f aca="false">UPPER(LEFT(TRIM(J372),1))&amp;LOWER(MID(TRIM(J372),2,100))</f>
        <v>Gold</v>
      </c>
      <c r="S372" s="8" t="str">
        <f aca="false">IF(I372="High","Positive",IF(I372="Medium","Neutral","Negative"))</f>
        <v>Negative</v>
      </c>
      <c r="T372" s="8" t="str">
        <f aca="false">IF(AND(E372&gt;=80000,H372&gt;=15),"Premium",IF(AND(E372&gt;=50000,H372&gt;=10),"Standard","Basic"))</f>
        <v>Basic</v>
      </c>
      <c r="U372" s="8" t="str">
        <f aca="false">IF(AND(F372&gt;=7,G372&gt;=7),"High Quality Experience","Review Needed")</f>
        <v>Review Needed</v>
      </c>
      <c r="V372" s="8" t="str">
        <f aca="false">IF(H372&gt;=10,"Repeat Buyer","Occasional Buyer")</f>
        <v>Occasional Buyer</v>
      </c>
      <c r="W372" s="8" t="str">
        <f aca="false">IF(AND(K372&lt;70,I372="Low"),"At Risk","Stable")</f>
        <v>Stable</v>
      </c>
      <c r="X372" s="8" t="str">
        <f aca="false">IF(AND(K372&lt;75,I372="Low",J372="Bronze"),"Priority Followup","No Action")</f>
        <v>No Action</v>
      </c>
    </row>
    <row r="373" customFormat="false" ht="15" hidden="false" customHeight="false" outlineLevel="0" collapsed="false">
      <c r="A373" s="3" t="n">
        <v>371</v>
      </c>
      <c r="B373" s="3" t="n">
        <v>21</v>
      </c>
      <c r="C373" s="3" t="s">
        <v>11</v>
      </c>
      <c r="D373" s="3" t="s">
        <v>18</v>
      </c>
      <c r="E373" s="3" t="n">
        <v>77185</v>
      </c>
      <c r="F373" s="3" t="n">
        <v>6</v>
      </c>
      <c r="G373" s="3" t="n">
        <v>5</v>
      </c>
      <c r="H373" s="3" t="n">
        <v>15</v>
      </c>
      <c r="I373" s="3" t="s">
        <v>13</v>
      </c>
      <c r="J373" s="3" t="s">
        <v>19</v>
      </c>
      <c r="K373" s="3" t="n">
        <v>100</v>
      </c>
      <c r="L373" s="7" t="str">
        <f aca="false">IF(B373&lt;25,"Gen Z",IF(B373&lt;40,"Millennial",IF(B373&lt;55,"Gen X","Baby Boomer")))</f>
        <v>Gen Z</v>
      </c>
      <c r="M373" s="7" t="str">
        <f aca="false">IF(E373&lt;50000,"Low Income",IF(E373&lt;80000,"Middle Income",IF(E373&lt;100000,"Upper Middle","High Income")))</f>
        <v>Middle Income</v>
      </c>
      <c r="N373" s="7" t="str">
        <f aca="false">IF(F373&lt;=3,"Poor",IF(F373&lt;=6,"Average",IF(F373&lt;=8,"Good","Excellent")))</f>
        <v>Average</v>
      </c>
      <c r="O373" s="7" t="str">
        <f aca="false">IF(G373&lt;=3,"Poor",IF(G373&lt;=6,"Average",IF(G373&lt;=8,"Good","Excellent")))</f>
        <v>Average</v>
      </c>
      <c r="P373" s="7" t="str">
        <f aca="false">IF(H373&lt;=5,"Low Frequency",IF(H373&lt;=10,"Moderate",IF(H373&lt;=15,"High","Very High")))</f>
        <v>High</v>
      </c>
      <c r="Q373" s="7" t="str">
        <f aca="false">IF(K373&gt;=90,"Highly Satisfied",IF(K373&gt;=75,"Satisfied",IF(K373&gt;=60,"Neutral","Dissatisfied")))</f>
        <v>Highly Satisfied</v>
      </c>
      <c r="R373" s="7" t="str">
        <f aca="false">UPPER(LEFT(TRIM(J373),1))&amp;LOWER(MID(TRIM(J373),2,100))</f>
        <v>Silver</v>
      </c>
      <c r="S373" s="7" t="str">
        <f aca="false">IF(I373="High","Positive",IF(I373="Medium","Neutral","Negative"))</f>
        <v>Negative</v>
      </c>
      <c r="T373" s="7" t="str">
        <f aca="false">IF(AND(E373&gt;=80000,H373&gt;=15),"Premium",IF(AND(E373&gt;=50000,H373&gt;=10),"Standard","Basic"))</f>
        <v>Standard</v>
      </c>
      <c r="U373" s="7" t="str">
        <f aca="false">IF(AND(F373&gt;=7,G373&gt;=7),"High Quality Experience","Review Needed")</f>
        <v>Review Needed</v>
      </c>
      <c r="V373" s="7" t="str">
        <f aca="false">IF(H373&gt;=10,"Repeat Buyer","Occasional Buyer")</f>
        <v>Repeat Buyer</v>
      </c>
      <c r="W373" s="7" t="str">
        <f aca="false">IF(AND(K373&lt;70,I373="Low"),"At Risk","Stable")</f>
        <v>Stable</v>
      </c>
      <c r="X373" s="7" t="str">
        <f aca="false">IF(AND(K373&lt;75,I373="Low",J373="Bronze"),"Priority Followup","No Action")</f>
        <v>No Action</v>
      </c>
    </row>
    <row r="374" customFormat="false" ht="15" hidden="false" customHeight="false" outlineLevel="0" collapsed="false">
      <c r="A374" s="2" t="n">
        <v>372</v>
      </c>
      <c r="B374" s="2" t="n">
        <v>52</v>
      </c>
      <c r="C374" s="2" t="s">
        <v>17</v>
      </c>
      <c r="D374" s="2" t="s">
        <v>18</v>
      </c>
      <c r="E374" s="2" t="n">
        <v>35722</v>
      </c>
      <c r="F374" s="2" t="n">
        <v>8</v>
      </c>
      <c r="G374" s="2" t="n">
        <v>8</v>
      </c>
      <c r="H374" s="2" t="n">
        <v>1</v>
      </c>
      <c r="I374" s="2" t="s">
        <v>15</v>
      </c>
      <c r="J374" s="2" t="s">
        <v>16</v>
      </c>
      <c r="K374" s="2" t="n">
        <v>100</v>
      </c>
      <c r="L374" s="8" t="str">
        <f aca="false">IF(B374&lt;25,"Gen Z",IF(B374&lt;40,"Millennial",IF(B374&lt;55,"Gen X","Baby Boomer")))</f>
        <v>Gen X</v>
      </c>
      <c r="M374" s="8" t="str">
        <f aca="false">IF(E374&lt;50000,"Low Income",IF(E374&lt;80000,"Middle Income",IF(E374&lt;100000,"Upper Middle","High Income")))</f>
        <v>Low Income</v>
      </c>
      <c r="N374" s="8" t="str">
        <f aca="false">IF(F374&lt;=3,"Poor",IF(F374&lt;=6,"Average",IF(F374&lt;=8,"Good","Excellent")))</f>
        <v>Good</v>
      </c>
      <c r="O374" s="8" t="str">
        <f aca="false">IF(G374&lt;=3,"Poor",IF(G374&lt;=6,"Average",IF(G374&lt;=8,"Good","Excellent")))</f>
        <v>Good</v>
      </c>
      <c r="P374" s="8" t="str">
        <f aca="false">IF(H374&lt;=5,"Low Frequency",IF(H374&lt;=10,"Moderate",IF(H374&lt;=15,"High","Very High")))</f>
        <v>Low Frequency</v>
      </c>
      <c r="Q374" s="8" t="str">
        <f aca="false">IF(K374&gt;=90,"Highly Satisfied",IF(K374&gt;=75,"Satisfied",IF(K374&gt;=60,"Neutral","Dissatisfied")))</f>
        <v>Highly Satisfied</v>
      </c>
      <c r="R374" s="8" t="str">
        <f aca="false">UPPER(LEFT(TRIM(J374),1))&amp;LOWER(MID(TRIM(J374),2,100))</f>
        <v>Gold</v>
      </c>
      <c r="S374" s="8" t="str">
        <f aca="false">IF(I374="High","Positive",IF(I374="Medium","Neutral","Negative"))</f>
        <v>Neutral</v>
      </c>
      <c r="T374" s="8" t="str">
        <f aca="false">IF(AND(E374&gt;=80000,H374&gt;=15),"Premium",IF(AND(E374&gt;=50000,H374&gt;=10),"Standard","Basic"))</f>
        <v>Basic</v>
      </c>
      <c r="U374" s="8" t="str">
        <f aca="false">IF(AND(F374&gt;=7,G374&gt;=7),"High Quality Experience","Review Needed")</f>
        <v>High Quality Experience</v>
      </c>
      <c r="V374" s="8" t="str">
        <f aca="false">IF(H374&gt;=10,"Repeat Buyer","Occasional Buyer")</f>
        <v>Occasional Buyer</v>
      </c>
      <c r="W374" s="8" t="str">
        <f aca="false">IF(AND(K374&lt;70,I374="Low"),"At Risk","Stable")</f>
        <v>Stable</v>
      </c>
      <c r="X374" s="8" t="str">
        <f aca="false">IF(AND(K374&lt;75,I374="Low",J374="Bronze"),"Priority Followup","No Action")</f>
        <v>No Action</v>
      </c>
    </row>
    <row r="375" customFormat="false" ht="15" hidden="false" customHeight="false" outlineLevel="0" collapsed="false">
      <c r="A375" s="3" t="n">
        <v>373</v>
      </c>
      <c r="B375" s="3" t="n">
        <v>66</v>
      </c>
      <c r="C375" s="3" t="s">
        <v>11</v>
      </c>
      <c r="D375" s="3" t="s">
        <v>18</v>
      </c>
      <c r="E375" s="3" t="n">
        <v>59304</v>
      </c>
      <c r="F375" s="3" t="n">
        <v>9</v>
      </c>
      <c r="G375" s="3" t="n">
        <v>7</v>
      </c>
      <c r="H375" s="3" t="n">
        <v>12</v>
      </c>
      <c r="I375" s="3" t="s">
        <v>13</v>
      </c>
      <c r="J375" s="3" t="s">
        <v>14</v>
      </c>
      <c r="K375" s="3" t="n">
        <v>100</v>
      </c>
      <c r="L375" s="7" t="str">
        <f aca="false">IF(B375&lt;25,"Gen Z",IF(B375&lt;40,"Millennial",IF(B375&lt;55,"Gen X","Baby Boomer")))</f>
        <v>Baby Boomer</v>
      </c>
      <c r="M375" s="7" t="str">
        <f aca="false">IF(E375&lt;50000,"Low Income",IF(E375&lt;80000,"Middle Income",IF(E375&lt;100000,"Upper Middle","High Income")))</f>
        <v>Middle Income</v>
      </c>
      <c r="N375" s="7" t="str">
        <f aca="false">IF(F375&lt;=3,"Poor",IF(F375&lt;=6,"Average",IF(F375&lt;=8,"Good","Excellent")))</f>
        <v>Excellent</v>
      </c>
      <c r="O375" s="7" t="str">
        <f aca="false">IF(G375&lt;=3,"Poor",IF(G375&lt;=6,"Average",IF(G375&lt;=8,"Good","Excellent")))</f>
        <v>Good</v>
      </c>
      <c r="P375" s="7" t="str">
        <f aca="false">IF(H375&lt;=5,"Low Frequency",IF(H375&lt;=10,"Moderate",IF(H375&lt;=15,"High","Very High")))</f>
        <v>High</v>
      </c>
      <c r="Q375" s="7" t="str">
        <f aca="false">IF(K375&gt;=90,"Highly Satisfied",IF(K375&gt;=75,"Satisfied",IF(K375&gt;=60,"Neutral","Dissatisfied")))</f>
        <v>Highly Satisfied</v>
      </c>
      <c r="R375" s="7" t="str">
        <f aca="false">UPPER(LEFT(TRIM(J375),1))&amp;LOWER(MID(TRIM(J375),2,100))</f>
        <v>Bronze</v>
      </c>
      <c r="S375" s="7" t="str">
        <f aca="false">IF(I375="High","Positive",IF(I375="Medium","Neutral","Negative"))</f>
        <v>Negative</v>
      </c>
      <c r="T375" s="7" t="str">
        <f aca="false">IF(AND(E375&gt;=80000,H375&gt;=15),"Premium",IF(AND(E375&gt;=50000,H375&gt;=10),"Standard","Basic"))</f>
        <v>Standard</v>
      </c>
      <c r="U375" s="7" t="str">
        <f aca="false">IF(AND(F375&gt;=7,G375&gt;=7),"High Quality Experience","Review Needed")</f>
        <v>High Quality Experience</v>
      </c>
      <c r="V375" s="7" t="str">
        <f aca="false">IF(H375&gt;=10,"Repeat Buyer","Occasional Buyer")</f>
        <v>Repeat Buyer</v>
      </c>
      <c r="W375" s="7" t="str">
        <f aca="false">IF(AND(K375&lt;70,I375="Low"),"At Risk","Stable")</f>
        <v>Stable</v>
      </c>
      <c r="X375" s="7" t="str">
        <f aca="false">IF(AND(K375&lt;75,I375="Low",J375="Bronze"),"Priority Followup","No Action")</f>
        <v>No Action</v>
      </c>
    </row>
    <row r="376" customFormat="false" ht="15" hidden="false" customHeight="false" outlineLevel="0" collapsed="false">
      <c r="A376" s="2" t="n">
        <v>374</v>
      </c>
      <c r="B376" s="2" t="n">
        <v>34</v>
      </c>
      <c r="C376" s="2" t="s">
        <v>11</v>
      </c>
      <c r="D376" s="2" t="s">
        <v>20</v>
      </c>
      <c r="E376" s="2" t="n">
        <v>108282</v>
      </c>
      <c r="F376" s="2" t="n">
        <v>7</v>
      </c>
      <c r="G376" s="2" t="n">
        <v>8</v>
      </c>
      <c r="H376" s="2" t="n">
        <v>1</v>
      </c>
      <c r="I376" s="2" t="s">
        <v>21</v>
      </c>
      <c r="J376" s="2" t="s">
        <v>14</v>
      </c>
      <c r="K376" s="2" t="n">
        <v>100</v>
      </c>
      <c r="L376" s="8" t="str">
        <f aca="false">IF(B376&lt;25,"Gen Z",IF(B376&lt;40,"Millennial",IF(B376&lt;55,"Gen X","Baby Boomer")))</f>
        <v>Millennial</v>
      </c>
      <c r="M376" s="8" t="str">
        <f aca="false">IF(E376&lt;50000,"Low Income",IF(E376&lt;80000,"Middle Income",IF(E376&lt;100000,"Upper Middle","High Income")))</f>
        <v>High Income</v>
      </c>
      <c r="N376" s="8" t="str">
        <f aca="false">IF(F376&lt;=3,"Poor",IF(F376&lt;=6,"Average",IF(F376&lt;=8,"Good","Excellent")))</f>
        <v>Good</v>
      </c>
      <c r="O376" s="8" t="str">
        <f aca="false">IF(G376&lt;=3,"Poor",IF(G376&lt;=6,"Average",IF(G376&lt;=8,"Good","Excellent")))</f>
        <v>Good</v>
      </c>
      <c r="P376" s="8" t="str">
        <f aca="false">IF(H376&lt;=5,"Low Frequency",IF(H376&lt;=10,"Moderate",IF(H376&lt;=15,"High","Very High")))</f>
        <v>Low Frequency</v>
      </c>
      <c r="Q376" s="8" t="str">
        <f aca="false">IF(K376&gt;=90,"Highly Satisfied",IF(K376&gt;=75,"Satisfied",IF(K376&gt;=60,"Neutral","Dissatisfied")))</f>
        <v>Highly Satisfied</v>
      </c>
      <c r="R376" s="8" t="str">
        <f aca="false">UPPER(LEFT(TRIM(J376),1))&amp;LOWER(MID(TRIM(J376),2,100))</f>
        <v>Bronze</v>
      </c>
      <c r="S376" s="8" t="str">
        <f aca="false">IF(I376="High","Positive",IF(I376="Medium","Neutral","Negative"))</f>
        <v>Positive</v>
      </c>
      <c r="T376" s="8" t="str">
        <f aca="false">IF(AND(E376&gt;=80000,H376&gt;=15),"Premium",IF(AND(E376&gt;=50000,H376&gt;=10),"Standard","Basic"))</f>
        <v>Basic</v>
      </c>
      <c r="U376" s="8" t="str">
        <f aca="false">IF(AND(F376&gt;=7,G376&gt;=7),"High Quality Experience","Review Needed")</f>
        <v>High Quality Experience</v>
      </c>
      <c r="V376" s="8" t="str">
        <f aca="false">IF(H376&gt;=10,"Repeat Buyer","Occasional Buyer")</f>
        <v>Occasional Buyer</v>
      </c>
      <c r="W376" s="8" t="str">
        <f aca="false">IF(AND(K376&lt;70,I376="Low"),"At Risk","Stable")</f>
        <v>Stable</v>
      </c>
      <c r="X376" s="8" t="str">
        <f aca="false">IF(AND(K376&lt;75,I376="Low",J376="Bronze"),"Priority Followup","No Action")</f>
        <v>No Action</v>
      </c>
    </row>
    <row r="377" customFormat="false" ht="15" hidden="false" customHeight="false" outlineLevel="0" collapsed="false">
      <c r="A377" s="3" t="n">
        <v>375</v>
      </c>
      <c r="B377" s="3" t="n">
        <v>61</v>
      </c>
      <c r="C377" s="3" t="s">
        <v>17</v>
      </c>
      <c r="D377" s="3" t="s">
        <v>23</v>
      </c>
      <c r="E377" s="3" t="n">
        <v>119879</v>
      </c>
      <c r="F377" s="3" t="n">
        <v>6</v>
      </c>
      <c r="G377" s="3" t="n">
        <v>9</v>
      </c>
      <c r="H377" s="3" t="n">
        <v>5</v>
      </c>
      <c r="I377" s="3" t="s">
        <v>15</v>
      </c>
      <c r="J377" s="3" t="s">
        <v>19</v>
      </c>
      <c r="K377" s="3" t="n">
        <v>100</v>
      </c>
      <c r="L377" s="7" t="str">
        <f aca="false">IF(B377&lt;25,"Gen Z",IF(B377&lt;40,"Millennial",IF(B377&lt;55,"Gen X","Baby Boomer")))</f>
        <v>Baby Boomer</v>
      </c>
      <c r="M377" s="7" t="str">
        <f aca="false">IF(E377&lt;50000,"Low Income",IF(E377&lt;80000,"Middle Income",IF(E377&lt;100000,"Upper Middle","High Income")))</f>
        <v>High Income</v>
      </c>
      <c r="N377" s="7" t="str">
        <f aca="false">IF(F377&lt;=3,"Poor",IF(F377&lt;=6,"Average",IF(F377&lt;=8,"Good","Excellent")))</f>
        <v>Average</v>
      </c>
      <c r="O377" s="7" t="str">
        <f aca="false">IF(G377&lt;=3,"Poor",IF(G377&lt;=6,"Average",IF(G377&lt;=8,"Good","Excellent")))</f>
        <v>Excellent</v>
      </c>
      <c r="P377" s="7" t="str">
        <f aca="false">IF(H377&lt;=5,"Low Frequency",IF(H377&lt;=10,"Moderate",IF(H377&lt;=15,"High","Very High")))</f>
        <v>Low Frequency</v>
      </c>
      <c r="Q377" s="7" t="str">
        <f aca="false">IF(K377&gt;=90,"Highly Satisfied",IF(K377&gt;=75,"Satisfied",IF(K377&gt;=60,"Neutral","Dissatisfied")))</f>
        <v>Highly Satisfied</v>
      </c>
      <c r="R377" s="7" t="str">
        <f aca="false">UPPER(LEFT(TRIM(J377),1))&amp;LOWER(MID(TRIM(J377),2,100))</f>
        <v>Silver</v>
      </c>
      <c r="S377" s="7" t="str">
        <f aca="false">IF(I377="High","Positive",IF(I377="Medium","Neutral","Negative"))</f>
        <v>Neutral</v>
      </c>
      <c r="T377" s="7" t="str">
        <f aca="false">IF(AND(E377&gt;=80000,H377&gt;=15),"Premium",IF(AND(E377&gt;=50000,H377&gt;=10),"Standard","Basic"))</f>
        <v>Basic</v>
      </c>
      <c r="U377" s="7" t="str">
        <f aca="false">IF(AND(F377&gt;=7,G377&gt;=7),"High Quality Experience","Review Needed")</f>
        <v>Review Needed</v>
      </c>
      <c r="V377" s="7" t="str">
        <f aca="false">IF(H377&gt;=10,"Repeat Buyer","Occasional Buyer")</f>
        <v>Occasional Buyer</v>
      </c>
      <c r="W377" s="7" t="str">
        <f aca="false">IF(AND(K377&lt;70,I377="Low"),"At Risk","Stable")</f>
        <v>Stable</v>
      </c>
      <c r="X377" s="7" t="str">
        <f aca="false">IF(AND(K377&lt;75,I377="Low",J377="Bronze"),"Priority Followup","No Action")</f>
        <v>No Action</v>
      </c>
    </row>
    <row r="378" customFormat="false" ht="15" hidden="false" customHeight="false" outlineLevel="0" collapsed="false">
      <c r="A378" s="2" t="n">
        <v>376</v>
      </c>
      <c r="B378" s="2" t="n">
        <v>45</v>
      </c>
      <c r="C378" s="2" t="s">
        <v>11</v>
      </c>
      <c r="D378" s="2" t="s">
        <v>22</v>
      </c>
      <c r="E378" s="2" t="n">
        <v>115373</v>
      </c>
      <c r="F378" s="2" t="n">
        <v>1</v>
      </c>
      <c r="G378" s="2" t="n">
        <v>2</v>
      </c>
      <c r="H378" s="2" t="n">
        <v>13</v>
      </c>
      <c r="I378" s="2" t="s">
        <v>21</v>
      </c>
      <c r="J378" s="2" t="s">
        <v>14</v>
      </c>
      <c r="K378" s="2" t="n">
        <v>65.07</v>
      </c>
      <c r="L378" s="8" t="str">
        <f aca="false">IF(B378&lt;25,"Gen Z",IF(B378&lt;40,"Millennial",IF(B378&lt;55,"Gen X","Baby Boomer")))</f>
        <v>Gen X</v>
      </c>
      <c r="M378" s="8" t="str">
        <f aca="false">IF(E378&lt;50000,"Low Income",IF(E378&lt;80000,"Middle Income",IF(E378&lt;100000,"Upper Middle","High Income")))</f>
        <v>High Income</v>
      </c>
      <c r="N378" s="8" t="str">
        <f aca="false">IF(F378&lt;=3,"Poor",IF(F378&lt;=6,"Average",IF(F378&lt;=8,"Good","Excellent")))</f>
        <v>Poor</v>
      </c>
      <c r="O378" s="8" t="str">
        <f aca="false">IF(G378&lt;=3,"Poor",IF(G378&lt;=6,"Average",IF(G378&lt;=8,"Good","Excellent")))</f>
        <v>Poor</v>
      </c>
      <c r="P378" s="8" t="str">
        <f aca="false">IF(H378&lt;=5,"Low Frequency",IF(H378&lt;=10,"Moderate",IF(H378&lt;=15,"High","Very High")))</f>
        <v>High</v>
      </c>
      <c r="Q378" s="8" t="str">
        <f aca="false">IF(K378&gt;=90,"Highly Satisfied",IF(K378&gt;=75,"Satisfied",IF(K378&gt;=60,"Neutral","Dissatisfied")))</f>
        <v>Neutral</v>
      </c>
      <c r="R378" s="8" t="str">
        <f aca="false">UPPER(LEFT(TRIM(J378),1))&amp;LOWER(MID(TRIM(J378),2,100))</f>
        <v>Bronze</v>
      </c>
      <c r="S378" s="8" t="str">
        <f aca="false">IF(I378="High","Positive",IF(I378="Medium","Neutral","Negative"))</f>
        <v>Positive</v>
      </c>
      <c r="T378" s="8" t="str">
        <f aca="false">IF(AND(E378&gt;=80000,H378&gt;=15),"Premium",IF(AND(E378&gt;=50000,H378&gt;=10),"Standard","Basic"))</f>
        <v>Standard</v>
      </c>
      <c r="U378" s="8" t="str">
        <f aca="false">IF(AND(F378&gt;=7,G378&gt;=7),"High Quality Experience","Review Needed")</f>
        <v>Review Needed</v>
      </c>
      <c r="V378" s="8" t="str">
        <f aca="false">IF(H378&gt;=10,"Repeat Buyer","Occasional Buyer")</f>
        <v>Repeat Buyer</v>
      </c>
      <c r="W378" s="8" t="str">
        <f aca="false">IF(AND(K378&lt;70,I378="Low"),"At Risk","Stable")</f>
        <v>Stable</v>
      </c>
      <c r="X378" s="8" t="str">
        <f aca="false">IF(AND(K378&lt;75,I378="Low",J378="Bronze"),"Priority Followup","No Action")</f>
        <v>No Action</v>
      </c>
    </row>
    <row r="379" customFormat="false" ht="15" hidden="false" customHeight="false" outlineLevel="0" collapsed="false">
      <c r="A379" s="3" t="n">
        <v>377</v>
      </c>
      <c r="B379" s="3" t="n">
        <v>47</v>
      </c>
      <c r="C379" s="3" t="s">
        <v>17</v>
      </c>
      <c r="D379" s="3" t="s">
        <v>20</v>
      </c>
      <c r="E379" s="3" t="n">
        <v>100310</v>
      </c>
      <c r="F379" s="3" t="n">
        <v>4</v>
      </c>
      <c r="G379" s="3" t="n">
        <v>9</v>
      </c>
      <c r="H379" s="3" t="n">
        <v>6</v>
      </c>
      <c r="I379" s="3" t="s">
        <v>13</v>
      </c>
      <c r="J379" s="3" t="s">
        <v>16</v>
      </c>
      <c r="K379" s="3" t="n">
        <v>100</v>
      </c>
      <c r="L379" s="7" t="str">
        <f aca="false">IF(B379&lt;25,"Gen Z",IF(B379&lt;40,"Millennial",IF(B379&lt;55,"Gen X","Baby Boomer")))</f>
        <v>Gen X</v>
      </c>
      <c r="M379" s="7" t="str">
        <f aca="false">IF(E379&lt;50000,"Low Income",IF(E379&lt;80000,"Middle Income",IF(E379&lt;100000,"Upper Middle","High Income")))</f>
        <v>High Income</v>
      </c>
      <c r="N379" s="7" t="str">
        <f aca="false">IF(F379&lt;=3,"Poor",IF(F379&lt;=6,"Average",IF(F379&lt;=8,"Good","Excellent")))</f>
        <v>Average</v>
      </c>
      <c r="O379" s="7" t="str">
        <f aca="false">IF(G379&lt;=3,"Poor",IF(G379&lt;=6,"Average",IF(G379&lt;=8,"Good","Excellent")))</f>
        <v>Excellent</v>
      </c>
      <c r="P379" s="7" t="str">
        <f aca="false">IF(H379&lt;=5,"Low Frequency",IF(H379&lt;=10,"Moderate",IF(H379&lt;=15,"High","Very High")))</f>
        <v>Moderate</v>
      </c>
      <c r="Q379" s="7" t="str">
        <f aca="false">IF(K379&gt;=90,"Highly Satisfied",IF(K379&gt;=75,"Satisfied",IF(K379&gt;=60,"Neutral","Dissatisfied")))</f>
        <v>Highly Satisfied</v>
      </c>
      <c r="R379" s="7" t="str">
        <f aca="false">UPPER(LEFT(TRIM(J379),1))&amp;LOWER(MID(TRIM(J379),2,100))</f>
        <v>Gold</v>
      </c>
      <c r="S379" s="7" t="str">
        <f aca="false">IF(I379="High","Positive",IF(I379="Medium","Neutral","Negative"))</f>
        <v>Negative</v>
      </c>
      <c r="T379" s="7" t="str">
        <f aca="false">IF(AND(E379&gt;=80000,H379&gt;=15),"Premium",IF(AND(E379&gt;=50000,H379&gt;=10),"Standard","Basic"))</f>
        <v>Basic</v>
      </c>
      <c r="U379" s="7" t="str">
        <f aca="false">IF(AND(F379&gt;=7,G379&gt;=7),"High Quality Experience","Review Needed")</f>
        <v>Review Needed</v>
      </c>
      <c r="V379" s="7" t="str">
        <f aca="false">IF(H379&gt;=10,"Repeat Buyer","Occasional Buyer")</f>
        <v>Occasional Buyer</v>
      </c>
      <c r="W379" s="7" t="str">
        <f aca="false">IF(AND(K379&lt;70,I379="Low"),"At Risk","Stable")</f>
        <v>Stable</v>
      </c>
      <c r="X379" s="7" t="str">
        <f aca="false">IF(AND(K379&lt;75,I379="Low",J379="Bronze"),"Priority Followup","No Action")</f>
        <v>No Action</v>
      </c>
    </row>
    <row r="380" customFormat="false" ht="15" hidden="false" customHeight="false" outlineLevel="0" collapsed="false">
      <c r="A380" s="2" t="n">
        <v>378</v>
      </c>
      <c r="B380" s="2" t="n">
        <v>46</v>
      </c>
      <c r="C380" s="2" t="s">
        <v>11</v>
      </c>
      <c r="D380" s="2" t="s">
        <v>18</v>
      </c>
      <c r="E380" s="2" t="n">
        <v>65654</v>
      </c>
      <c r="F380" s="2" t="n">
        <v>2</v>
      </c>
      <c r="G380" s="2" t="n">
        <v>1</v>
      </c>
      <c r="H380" s="2" t="n">
        <v>13</v>
      </c>
      <c r="I380" s="2" t="s">
        <v>13</v>
      </c>
      <c r="J380" s="2" t="s">
        <v>19</v>
      </c>
      <c r="K380" s="2" t="n">
        <v>58.42</v>
      </c>
      <c r="L380" s="8" t="str">
        <f aca="false">IF(B380&lt;25,"Gen Z",IF(B380&lt;40,"Millennial",IF(B380&lt;55,"Gen X","Baby Boomer")))</f>
        <v>Gen X</v>
      </c>
      <c r="M380" s="8" t="str">
        <f aca="false">IF(E380&lt;50000,"Low Income",IF(E380&lt;80000,"Middle Income",IF(E380&lt;100000,"Upper Middle","High Income")))</f>
        <v>Middle Income</v>
      </c>
      <c r="N380" s="8" t="str">
        <f aca="false">IF(F380&lt;=3,"Poor",IF(F380&lt;=6,"Average",IF(F380&lt;=8,"Good","Excellent")))</f>
        <v>Poor</v>
      </c>
      <c r="O380" s="8" t="str">
        <f aca="false">IF(G380&lt;=3,"Poor",IF(G380&lt;=6,"Average",IF(G380&lt;=8,"Good","Excellent")))</f>
        <v>Poor</v>
      </c>
      <c r="P380" s="8" t="str">
        <f aca="false">IF(H380&lt;=5,"Low Frequency",IF(H380&lt;=10,"Moderate",IF(H380&lt;=15,"High","Very High")))</f>
        <v>High</v>
      </c>
      <c r="Q380" s="8" t="str">
        <f aca="false">IF(K380&gt;=90,"Highly Satisfied",IF(K380&gt;=75,"Satisfied",IF(K380&gt;=60,"Neutral","Dissatisfied")))</f>
        <v>Dissatisfied</v>
      </c>
      <c r="R380" s="8" t="str">
        <f aca="false">UPPER(LEFT(TRIM(J380),1))&amp;LOWER(MID(TRIM(J380),2,100))</f>
        <v>Silver</v>
      </c>
      <c r="S380" s="8" t="str">
        <f aca="false">IF(I380="High","Positive",IF(I380="Medium","Neutral","Negative"))</f>
        <v>Negative</v>
      </c>
      <c r="T380" s="8" t="str">
        <f aca="false">IF(AND(E380&gt;=80000,H380&gt;=15),"Premium",IF(AND(E380&gt;=50000,H380&gt;=10),"Standard","Basic"))</f>
        <v>Standard</v>
      </c>
      <c r="U380" s="8" t="str">
        <f aca="false">IF(AND(F380&gt;=7,G380&gt;=7),"High Quality Experience","Review Needed")</f>
        <v>Review Needed</v>
      </c>
      <c r="V380" s="8" t="str">
        <f aca="false">IF(H380&gt;=10,"Repeat Buyer","Occasional Buyer")</f>
        <v>Repeat Buyer</v>
      </c>
      <c r="W380" s="8" t="str">
        <f aca="false">IF(AND(K380&lt;70,I380="Low"),"At Risk","Stable")</f>
        <v>At Risk</v>
      </c>
      <c r="X380" s="8" t="str">
        <f aca="false">IF(AND(K380&lt;75,I380="Low",J380="Bronze"),"Priority Followup","No Action")</f>
        <v>No Action</v>
      </c>
    </row>
    <row r="381" customFormat="false" ht="15" hidden="false" customHeight="false" outlineLevel="0" collapsed="false">
      <c r="A381" s="3" t="n">
        <v>379</v>
      </c>
      <c r="B381" s="3" t="n">
        <v>63</v>
      </c>
      <c r="C381" s="3" t="s">
        <v>11</v>
      </c>
      <c r="D381" s="3" t="s">
        <v>23</v>
      </c>
      <c r="E381" s="3" t="n">
        <v>99003</v>
      </c>
      <c r="F381" s="3" t="n">
        <v>6</v>
      </c>
      <c r="G381" s="3" t="n">
        <v>8</v>
      </c>
      <c r="H381" s="3" t="n">
        <v>10</v>
      </c>
      <c r="I381" s="3" t="s">
        <v>13</v>
      </c>
      <c r="J381" s="3" t="s">
        <v>14</v>
      </c>
      <c r="K381" s="3" t="n">
        <v>100</v>
      </c>
      <c r="L381" s="7" t="str">
        <f aca="false">IF(B381&lt;25,"Gen Z",IF(B381&lt;40,"Millennial",IF(B381&lt;55,"Gen X","Baby Boomer")))</f>
        <v>Baby Boomer</v>
      </c>
      <c r="M381" s="7" t="str">
        <f aca="false">IF(E381&lt;50000,"Low Income",IF(E381&lt;80000,"Middle Income",IF(E381&lt;100000,"Upper Middle","High Income")))</f>
        <v>Upper Middle</v>
      </c>
      <c r="N381" s="7" t="str">
        <f aca="false">IF(F381&lt;=3,"Poor",IF(F381&lt;=6,"Average",IF(F381&lt;=8,"Good","Excellent")))</f>
        <v>Average</v>
      </c>
      <c r="O381" s="7" t="str">
        <f aca="false">IF(G381&lt;=3,"Poor",IF(G381&lt;=6,"Average",IF(G381&lt;=8,"Good","Excellent")))</f>
        <v>Good</v>
      </c>
      <c r="P381" s="7" t="str">
        <f aca="false">IF(H381&lt;=5,"Low Frequency",IF(H381&lt;=10,"Moderate",IF(H381&lt;=15,"High","Very High")))</f>
        <v>Moderate</v>
      </c>
      <c r="Q381" s="7" t="str">
        <f aca="false">IF(K381&gt;=90,"Highly Satisfied",IF(K381&gt;=75,"Satisfied",IF(K381&gt;=60,"Neutral","Dissatisfied")))</f>
        <v>Highly Satisfied</v>
      </c>
      <c r="R381" s="7" t="str">
        <f aca="false">UPPER(LEFT(TRIM(J381),1))&amp;LOWER(MID(TRIM(J381),2,100))</f>
        <v>Bronze</v>
      </c>
      <c r="S381" s="7" t="str">
        <f aca="false">IF(I381="High","Positive",IF(I381="Medium","Neutral","Negative"))</f>
        <v>Negative</v>
      </c>
      <c r="T381" s="7" t="str">
        <f aca="false">IF(AND(E381&gt;=80000,H381&gt;=15),"Premium",IF(AND(E381&gt;=50000,H381&gt;=10),"Standard","Basic"))</f>
        <v>Standard</v>
      </c>
      <c r="U381" s="7" t="str">
        <f aca="false">IF(AND(F381&gt;=7,G381&gt;=7),"High Quality Experience","Review Needed")</f>
        <v>Review Needed</v>
      </c>
      <c r="V381" s="7" t="str">
        <f aca="false">IF(H381&gt;=10,"Repeat Buyer","Occasional Buyer")</f>
        <v>Repeat Buyer</v>
      </c>
      <c r="W381" s="7" t="str">
        <f aca="false">IF(AND(K381&lt;70,I381="Low"),"At Risk","Stable")</f>
        <v>Stable</v>
      </c>
      <c r="X381" s="7" t="str">
        <f aca="false">IF(AND(K381&lt;75,I381="Low",J381="Bronze"),"Priority Followup","No Action")</f>
        <v>No Action</v>
      </c>
    </row>
    <row r="382" customFormat="false" ht="15" hidden="false" customHeight="false" outlineLevel="0" collapsed="false">
      <c r="A382" s="2" t="n">
        <v>380</v>
      </c>
      <c r="B382" s="2" t="n">
        <v>23</v>
      </c>
      <c r="C382" s="2" t="s">
        <v>11</v>
      </c>
      <c r="D382" s="2" t="s">
        <v>20</v>
      </c>
      <c r="E382" s="2" t="n">
        <v>84037</v>
      </c>
      <c r="F382" s="2" t="n">
        <v>2</v>
      </c>
      <c r="G382" s="2" t="n">
        <v>4</v>
      </c>
      <c r="H382" s="2" t="n">
        <v>17</v>
      </c>
      <c r="I382" s="2" t="s">
        <v>21</v>
      </c>
      <c r="J382" s="2" t="s">
        <v>14</v>
      </c>
      <c r="K382" s="2" t="n">
        <v>53.56</v>
      </c>
      <c r="L382" s="8" t="str">
        <f aca="false">IF(B382&lt;25,"Gen Z",IF(B382&lt;40,"Millennial",IF(B382&lt;55,"Gen X","Baby Boomer")))</f>
        <v>Gen Z</v>
      </c>
      <c r="M382" s="8" t="str">
        <f aca="false">IF(E382&lt;50000,"Low Income",IF(E382&lt;80000,"Middle Income",IF(E382&lt;100000,"Upper Middle","High Income")))</f>
        <v>Upper Middle</v>
      </c>
      <c r="N382" s="8" t="str">
        <f aca="false">IF(F382&lt;=3,"Poor",IF(F382&lt;=6,"Average",IF(F382&lt;=8,"Good","Excellent")))</f>
        <v>Poor</v>
      </c>
      <c r="O382" s="8" t="str">
        <f aca="false">IF(G382&lt;=3,"Poor",IF(G382&lt;=6,"Average",IF(G382&lt;=8,"Good","Excellent")))</f>
        <v>Average</v>
      </c>
      <c r="P382" s="8" t="str">
        <f aca="false">IF(H382&lt;=5,"Low Frequency",IF(H382&lt;=10,"Moderate",IF(H382&lt;=15,"High","Very High")))</f>
        <v>Very High</v>
      </c>
      <c r="Q382" s="8" t="str">
        <f aca="false">IF(K382&gt;=90,"Highly Satisfied",IF(K382&gt;=75,"Satisfied",IF(K382&gt;=60,"Neutral","Dissatisfied")))</f>
        <v>Dissatisfied</v>
      </c>
      <c r="R382" s="8" t="str">
        <f aca="false">UPPER(LEFT(TRIM(J382),1))&amp;LOWER(MID(TRIM(J382),2,100))</f>
        <v>Bronze</v>
      </c>
      <c r="S382" s="8" t="str">
        <f aca="false">IF(I382="High","Positive",IF(I382="Medium","Neutral","Negative"))</f>
        <v>Positive</v>
      </c>
      <c r="T382" s="8" t="str">
        <f aca="false">IF(AND(E382&gt;=80000,H382&gt;=15),"Premium",IF(AND(E382&gt;=50000,H382&gt;=10),"Standard","Basic"))</f>
        <v>Premium</v>
      </c>
      <c r="U382" s="8" t="str">
        <f aca="false">IF(AND(F382&gt;=7,G382&gt;=7),"High Quality Experience","Review Needed")</f>
        <v>Review Needed</v>
      </c>
      <c r="V382" s="8" t="str">
        <f aca="false">IF(H382&gt;=10,"Repeat Buyer","Occasional Buyer")</f>
        <v>Repeat Buyer</v>
      </c>
      <c r="W382" s="8" t="str">
        <f aca="false">IF(AND(K382&lt;70,I382="Low"),"At Risk","Stable")</f>
        <v>Stable</v>
      </c>
      <c r="X382" s="8" t="str">
        <f aca="false">IF(AND(K382&lt;75,I382="Low",J382="Bronze"),"Priority Followup","No Action")</f>
        <v>No Action</v>
      </c>
    </row>
    <row r="383" customFormat="false" ht="15" hidden="false" customHeight="false" outlineLevel="0" collapsed="false">
      <c r="A383" s="3" t="n">
        <v>381</v>
      </c>
      <c r="B383" s="3" t="n">
        <v>52</v>
      </c>
      <c r="C383" s="3" t="s">
        <v>11</v>
      </c>
      <c r="D383" s="3" t="s">
        <v>22</v>
      </c>
      <c r="E383" s="3" t="n">
        <v>35389</v>
      </c>
      <c r="F383" s="3" t="n">
        <v>5</v>
      </c>
      <c r="G383" s="3" t="n">
        <v>4</v>
      </c>
      <c r="H383" s="3" t="n">
        <v>2</v>
      </c>
      <c r="I383" s="3" t="s">
        <v>15</v>
      </c>
      <c r="J383" s="3" t="s">
        <v>19</v>
      </c>
      <c r="K383" s="3" t="n">
        <v>69.92</v>
      </c>
      <c r="L383" s="7" t="str">
        <f aca="false">IF(B383&lt;25,"Gen Z",IF(B383&lt;40,"Millennial",IF(B383&lt;55,"Gen X","Baby Boomer")))</f>
        <v>Gen X</v>
      </c>
      <c r="M383" s="7" t="str">
        <f aca="false">IF(E383&lt;50000,"Low Income",IF(E383&lt;80000,"Middle Income",IF(E383&lt;100000,"Upper Middle","High Income")))</f>
        <v>Low Income</v>
      </c>
      <c r="N383" s="7" t="str">
        <f aca="false">IF(F383&lt;=3,"Poor",IF(F383&lt;=6,"Average",IF(F383&lt;=8,"Good","Excellent")))</f>
        <v>Average</v>
      </c>
      <c r="O383" s="7" t="str">
        <f aca="false">IF(G383&lt;=3,"Poor",IF(G383&lt;=6,"Average",IF(G383&lt;=8,"Good","Excellent")))</f>
        <v>Average</v>
      </c>
      <c r="P383" s="7" t="str">
        <f aca="false">IF(H383&lt;=5,"Low Frequency",IF(H383&lt;=10,"Moderate",IF(H383&lt;=15,"High","Very High")))</f>
        <v>Low Frequency</v>
      </c>
      <c r="Q383" s="7" t="str">
        <f aca="false">IF(K383&gt;=90,"Highly Satisfied",IF(K383&gt;=75,"Satisfied",IF(K383&gt;=60,"Neutral","Dissatisfied")))</f>
        <v>Neutral</v>
      </c>
      <c r="R383" s="7" t="str">
        <f aca="false">UPPER(LEFT(TRIM(J383),1))&amp;LOWER(MID(TRIM(J383),2,100))</f>
        <v>Silver</v>
      </c>
      <c r="S383" s="7" t="str">
        <f aca="false">IF(I383="High","Positive",IF(I383="Medium","Neutral","Negative"))</f>
        <v>Neutral</v>
      </c>
      <c r="T383" s="7" t="str">
        <f aca="false">IF(AND(E383&gt;=80000,H383&gt;=15),"Premium",IF(AND(E383&gt;=50000,H383&gt;=10),"Standard","Basic"))</f>
        <v>Basic</v>
      </c>
      <c r="U383" s="7" t="str">
        <f aca="false">IF(AND(F383&gt;=7,G383&gt;=7),"High Quality Experience","Review Needed")</f>
        <v>Review Needed</v>
      </c>
      <c r="V383" s="7" t="str">
        <f aca="false">IF(H383&gt;=10,"Repeat Buyer","Occasional Buyer")</f>
        <v>Occasional Buyer</v>
      </c>
      <c r="W383" s="7" t="str">
        <f aca="false">IF(AND(K383&lt;70,I383="Low"),"At Risk","Stable")</f>
        <v>Stable</v>
      </c>
      <c r="X383" s="7" t="str">
        <f aca="false">IF(AND(K383&lt;75,I383="Low",J383="Bronze"),"Priority Followup","No Action")</f>
        <v>No Action</v>
      </c>
    </row>
    <row r="384" customFormat="false" ht="15" hidden="false" customHeight="false" outlineLevel="0" collapsed="false">
      <c r="A384" s="2" t="n">
        <v>382</v>
      </c>
      <c r="B384" s="2" t="n">
        <v>58</v>
      </c>
      <c r="C384" s="2" t="s">
        <v>11</v>
      </c>
      <c r="D384" s="2" t="s">
        <v>18</v>
      </c>
      <c r="E384" s="2" t="n">
        <v>75522</v>
      </c>
      <c r="F384" s="2" t="n">
        <v>7</v>
      </c>
      <c r="G384" s="2" t="n">
        <v>4</v>
      </c>
      <c r="H384" s="2" t="n">
        <v>17</v>
      </c>
      <c r="I384" s="2" t="s">
        <v>21</v>
      </c>
      <c r="J384" s="2" t="s">
        <v>14</v>
      </c>
      <c r="K384" s="2" t="n">
        <v>88.9</v>
      </c>
      <c r="L384" s="8" t="str">
        <f aca="false">IF(B384&lt;25,"Gen Z",IF(B384&lt;40,"Millennial",IF(B384&lt;55,"Gen X","Baby Boomer")))</f>
        <v>Baby Boomer</v>
      </c>
      <c r="M384" s="8" t="str">
        <f aca="false">IF(E384&lt;50000,"Low Income",IF(E384&lt;80000,"Middle Income",IF(E384&lt;100000,"Upper Middle","High Income")))</f>
        <v>Middle Income</v>
      </c>
      <c r="N384" s="8" t="str">
        <f aca="false">IF(F384&lt;=3,"Poor",IF(F384&lt;=6,"Average",IF(F384&lt;=8,"Good","Excellent")))</f>
        <v>Good</v>
      </c>
      <c r="O384" s="8" t="str">
        <f aca="false">IF(G384&lt;=3,"Poor",IF(G384&lt;=6,"Average",IF(G384&lt;=8,"Good","Excellent")))</f>
        <v>Average</v>
      </c>
      <c r="P384" s="8" t="str">
        <f aca="false">IF(H384&lt;=5,"Low Frequency",IF(H384&lt;=10,"Moderate",IF(H384&lt;=15,"High","Very High")))</f>
        <v>Very High</v>
      </c>
      <c r="Q384" s="8" t="str">
        <f aca="false">IF(K384&gt;=90,"Highly Satisfied",IF(K384&gt;=75,"Satisfied",IF(K384&gt;=60,"Neutral","Dissatisfied")))</f>
        <v>Satisfied</v>
      </c>
      <c r="R384" s="8" t="str">
        <f aca="false">UPPER(LEFT(TRIM(J384),1))&amp;LOWER(MID(TRIM(J384),2,100))</f>
        <v>Bronze</v>
      </c>
      <c r="S384" s="8" t="str">
        <f aca="false">IF(I384="High","Positive",IF(I384="Medium","Neutral","Negative"))</f>
        <v>Positive</v>
      </c>
      <c r="T384" s="8" t="str">
        <f aca="false">IF(AND(E384&gt;=80000,H384&gt;=15),"Premium",IF(AND(E384&gt;=50000,H384&gt;=10),"Standard","Basic"))</f>
        <v>Standard</v>
      </c>
      <c r="U384" s="8" t="str">
        <f aca="false">IF(AND(F384&gt;=7,G384&gt;=7),"High Quality Experience","Review Needed")</f>
        <v>Review Needed</v>
      </c>
      <c r="V384" s="8" t="str">
        <f aca="false">IF(H384&gt;=10,"Repeat Buyer","Occasional Buyer")</f>
        <v>Repeat Buyer</v>
      </c>
      <c r="W384" s="8" t="str">
        <f aca="false">IF(AND(K384&lt;70,I384="Low"),"At Risk","Stable")</f>
        <v>Stable</v>
      </c>
      <c r="X384" s="8" t="str">
        <f aca="false">IF(AND(K384&lt;75,I384="Low",J384="Bronze"),"Priority Followup","No Action")</f>
        <v>No Action</v>
      </c>
    </row>
    <row r="385" customFormat="false" ht="15" hidden="false" customHeight="false" outlineLevel="0" collapsed="false">
      <c r="A385" s="3" t="n">
        <v>383</v>
      </c>
      <c r="B385" s="3" t="n">
        <v>54</v>
      </c>
      <c r="C385" s="3" t="s">
        <v>11</v>
      </c>
      <c r="D385" s="3" t="s">
        <v>22</v>
      </c>
      <c r="E385" s="3" t="n">
        <v>103172</v>
      </c>
      <c r="F385" s="3" t="n">
        <v>6</v>
      </c>
      <c r="G385" s="3" t="n">
        <v>6</v>
      </c>
      <c r="H385" s="3" t="n">
        <v>12</v>
      </c>
      <c r="I385" s="3" t="s">
        <v>21</v>
      </c>
      <c r="J385" s="3" t="s">
        <v>16</v>
      </c>
      <c r="K385" s="3" t="n">
        <v>99.94</v>
      </c>
      <c r="L385" s="7" t="str">
        <f aca="false">IF(B385&lt;25,"Gen Z",IF(B385&lt;40,"Millennial",IF(B385&lt;55,"Gen X","Baby Boomer")))</f>
        <v>Gen X</v>
      </c>
      <c r="M385" s="7" t="str">
        <f aca="false">IF(E385&lt;50000,"Low Income",IF(E385&lt;80000,"Middle Income",IF(E385&lt;100000,"Upper Middle","High Income")))</f>
        <v>High Income</v>
      </c>
      <c r="N385" s="7" t="str">
        <f aca="false">IF(F385&lt;=3,"Poor",IF(F385&lt;=6,"Average",IF(F385&lt;=8,"Good","Excellent")))</f>
        <v>Average</v>
      </c>
      <c r="O385" s="7" t="str">
        <f aca="false">IF(G385&lt;=3,"Poor",IF(G385&lt;=6,"Average",IF(G385&lt;=8,"Good","Excellent")))</f>
        <v>Average</v>
      </c>
      <c r="P385" s="7" t="str">
        <f aca="false">IF(H385&lt;=5,"Low Frequency",IF(H385&lt;=10,"Moderate",IF(H385&lt;=15,"High","Very High")))</f>
        <v>High</v>
      </c>
      <c r="Q385" s="7" t="str">
        <f aca="false">IF(K385&gt;=90,"Highly Satisfied",IF(K385&gt;=75,"Satisfied",IF(K385&gt;=60,"Neutral","Dissatisfied")))</f>
        <v>Highly Satisfied</v>
      </c>
      <c r="R385" s="7" t="str">
        <f aca="false">UPPER(LEFT(TRIM(J385),1))&amp;LOWER(MID(TRIM(J385),2,100))</f>
        <v>Gold</v>
      </c>
      <c r="S385" s="7" t="str">
        <f aca="false">IF(I385="High","Positive",IF(I385="Medium","Neutral","Negative"))</f>
        <v>Positive</v>
      </c>
      <c r="T385" s="7" t="str">
        <f aca="false">IF(AND(E385&gt;=80000,H385&gt;=15),"Premium",IF(AND(E385&gt;=50000,H385&gt;=10),"Standard","Basic"))</f>
        <v>Standard</v>
      </c>
      <c r="U385" s="7" t="str">
        <f aca="false">IF(AND(F385&gt;=7,G385&gt;=7),"High Quality Experience","Review Needed")</f>
        <v>Review Needed</v>
      </c>
      <c r="V385" s="7" t="str">
        <f aca="false">IF(H385&gt;=10,"Repeat Buyer","Occasional Buyer")</f>
        <v>Repeat Buyer</v>
      </c>
      <c r="W385" s="7" t="str">
        <f aca="false">IF(AND(K385&lt;70,I385="Low"),"At Risk","Stable")</f>
        <v>Stable</v>
      </c>
      <c r="X385" s="7" t="str">
        <f aca="false">IF(AND(K385&lt;75,I385="Low",J385="Bronze"),"Priority Followup","No Action")</f>
        <v>No Action</v>
      </c>
    </row>
    <row r="386" customFormat="false" ht="15" hidden="false" customHeight="false" outlineLevel="0" collapsed="false">
      <c r="A386" s="2" t="n">
        <v>384</v>
      </c>
      <c r="B386" s="2" t="n">
        <v>41</v>
      </c>
      <c r="C386" s="2" t="s">
        <v>11</v>
      </c>
      <c r="D386" s="2" t="s">
        <v>18</v>
      </c>
      <c r="E386" s="2" t="n">
        <v>58540</v>
      </c>
      <c r="F386" s="2" t="n">
        <v>4</v>
      </c>
      <c r="G386" s="2" t="n">
        <v>10</v>
      </c>
      <c r="H386" s="2" t="n">
        <v>7</v>
      </c>
      <c r="I386" s="2" t="s">
        <v>13</v>
      </c>
      <c r="J386" s="2" t="s">
        <v>19</v>
      </c>
      <c r="K386" s="2" t="n">
        <v>99.25</v>
      </c>
      <c r="L386" s="8" t="str">
        <f aca="false">IF(B386&lt;25,"Gen Z",IF(B386&lt;40,"Millennial",IF(B386&lt;55,"Gen X","Baby Boomer")))</f>
        <v>Gen X</v>
      </c>
      <c r="M386" s="8" t="str">
        <f aca="false">IF(E386&lt;50000,"Low Income",IF(E386&lt;80000,"Middle Income",IF(E386&lt;100000,"Upper Middle","High Income")))</f>
        <v>Middle Income</v>
      </c>
      <c r="N386" s="8" t="str">
        <f aca="false">IF(F386&lt;=3,"Poor",IF(F386&lt;=6,"Average",IF(F386&lt;=8,"Good","Excellent")))</f>
        <v>Average</v>
      </c>
      <c r="O386" s="8" t="str">
        <f aca="false">IF(G386&lt;=3,"Poor",IF(G386&lt;=6,"Average",IF(G386&lt;=8,"Good","Excellent")))</f>
        <v>Excellent</v>
      </c>
      <c r="P386" s="8" t="str">
        <f aca="false">IF(H386&lt;=5,"Low Frequency",IF(H386&lt;=10,"Moderate",IF(H386&lt;=15,"High","Very High")))</f>
        <v>Moderate</v>
      </c>
      <c r="Q386" s="8" t="str">
        <f aca="false">IF(K386&gt;=90,"Highly Satisfied",IF(K386&gt;=75,"Satisfied",IF(K386&gt;=60,"Neutral","Dissatisfied")))</f>
        <v>Highly Satisfied</v>
      </c>
      <c r="R386" s="8" t="str">
        <f aca="false">UPPER(LEFT(TRIM(J386),1))&amp;LOWER(MID(TRIM(J386),2,100))</f>
        <v>Silver</v>
      </c>
      <c r="S386" s="8" t="str">
        <f aca="false">IF(I386="High","Positive",IF(I386="Medium","Neutral","Negative"))</f>
        <v>Negative</v>
      </c>
      <c r="T386" s="8" t="str">
        <f aca="false">IF(AND(E386&gt;=80000,H386&gt;=15),"Premium",IF(AND(E386&gt;=50000,H386&gt;=10),"Standard","Basic"))</f>
        <v>Basic</v>
      </c>
      <c r="U386" s="8" t="str">
        <f aca="false">IF(AND(F386&gt;=7,G386&gt;=7),"High Quality Experience","Review Needed")</f>
        <v>Review Needed</v>
      </c>
      <c r="V386" s="8" t="str">
        <f aca="false">IF(H386&gt;=10,"Repeat Buyer","Occasional Buyer")</f>
        <v>Occasional Buyer</v>
      </c>
      <c r="W386" s="8" t="str">
        <f aca="false">IF(AND(K386&lt;70,I386="Low"),"At Risk","Stable")</f>
        <v>Stable</v>
      </c>
      <c r="X386" s="8" t="str">
        <f aca="false">IF(AND(K386&lt;75,I386="Low",J386="Bronze"),"Priority Followup","No Action")</f>
        <v>No Action</v>
      </c>
    </row>
    <row r="387" customFormat="false" ht="15" hidden="false" customHeight="false" outlineLevel="0" collapsed="false">
      <c r="A387" s="3" t="n">
        <v>385</v>
      </c>
      <c r="B387" s="3" t="n">
        <v>46</v>
      </c>
      <c r="C387" s="3" t="s">
        <v>17</v>
      </c>
      <c r="D387" s="3" t="s">
        <v>18</v>
      </c>
      <c r="E387" s="3" t="n">
        <v>61144</v>
      </c>
      <c r="F387" s="3" t="n">
        <v>5</v>
      </c>
      <c r="G387" s="3" t="n">
        <v>10</v>
      </c>
      <c r="H387" s="3" t="n">
        <v>10</v>
      </c>
      <c r="I387" s="3" t="s">
        <v>15</v>
      </c>
      <c r="J387" s="3" t="s">
        <v>19</v>
      </c>
      <c r="K387" s="3" t="n">
        <v>92.8</v>
      </c>
      <c r="L387" s="7" t="str">
        <f aca="false">IF(B387&lt;25,"Gen Z",IF(B387&lt;40,"Millennial",IF(B387&lt;55,"Gen X","Baby Boomer")))</f>
        <v>Gen X</v>
      </c>
      <c r="M387" s="7" t="str">
        <f aca="false">IF(E387&lt;50000,"Low Income",IF(E387&lt;80000,"Middle Income",IF(E387&lt;100000,"Upper Middle","High Income")))</f>
        <v>Middle Income</v>
      </c>
      <c r="N387" s="7" t="str">
        <f aca="false">IF(F387&lt;=3,"Poor",IF(F387&lt;=6,"Average",IF(F387&lt;=8,"Good","Excellent")))</f>
        <v>Average</v>
      </c>
      <c r="O387" s="7" t="str">
        <f aca="false">IF(G387&lt;=3,"Poor",IF(G387&lt;=6,"Average",IF(G387&lt;=8,"Good","Excellent")))</f>
        <v>Excellent</v>
      </c>
      <c r="P387" s="7" t="str">
        <f aca="false">IF(H387&lt;=5,"Low Frequency",IF(H387&lt;=10,"Moderate",IF(H387&lt;=15,"High","Very High")))</f>
        <v>Moderate</v>
      </c>
      <c r="Q387" s="7" t="str">
        <f aca="false">IF(K387&gt;=90,"Highly Satisfied",IF(K387&gt;=75,"Satisfied",IF(K387&gt;=60,"Neutral","Dissatisfied")))</f>
        <v>Highly Satisfied</v>
      </c>
      <c r="R387" s="7" t="str">
        <f aca="false">UPPER(LEFT(TRIM(J387),1))&amp;LOWER(MID(TRIM(J387),2,100))</f>
        <v>Silver</v>
      </c>
      <c r="S387" s="7" t="str">
        <f aca="false">IF(I387="High","Positive",IF(I387="Medium","Neutral","Negative"))</f>
        <v>Neutral</v>
      </c>
      <c r="T387" s="7" t="str">
        <f aca="false">IF(AND(E387&gt;=80000,H387&gt;=15),"Premium",IF(AND(E387&gt;=50000,H387&gt;=10),"Standard","Basic"))</f>
        <v>Standard</v>
      </c>
      <c r="U387" s="7" t="str">
        <f aca="false">IF(AND(F387&gt;=7,G387&gt;=7),"High Quality Experience","Review Needed")</f>
        <v>Review Needed</v>
      </c>
      <c r="V387" s="7" t="str">
        <f aca="false">IF(H387&gt;=10,"Repeat Buyer","Occasional Buyer")</f>
        <v>Repeat Buyer</v>
      </c>
      <c r="W387" s="7" t="str">
        <f aca="false">IF(AND(K387&lt;70,I387="Low"),"At Risk","Stable")</f>
        <v>Stable</v>
      </c>
      <c r="X387" s="7" t="str">
        <f aca="false">IF(AND(K387&lt;75,I387="Low",J387="Bronze"),"Priority Followup","No Action")</f>
        <v>No Action</v>
      </c>
    </row>
    <row r="388" customFormat="false" ht="15" hidden="false" customHeight="false" outlineLevel="0" collapsed="false">
      <c r="A388" s="2" t="n">
        <v>386</v>
      </c>
      <c r="B388" s="2" t="n">
        <v>66</v>
      </c>
      <c r="C388" s="2" t="s">
        <v>11</v>
      </c>
      <c r="D388" s="2" t="s">
        <v>12</v>
      </c>
      <c r="E388" s="2" t="n">
        <v>63196</v>
      </c>
      <c r="F388" s="2" t="n">
        <v>6</v>
      </c>
      <c r="G388" s="2" t="n">
        <v>5</v>
      </c>
      <c r="H388" s="2" t="n">
        <v>13</v>
      </c>
      <c r="I388" s="2" t="s">
        <v>21</v>
      </c>
      <c r="J388" s="2" t="s">
        <v>14</v>
      </c>
      <c r="K388" s="2" t="n">
        <v>82.22</v>
      </c>
      <c r="L388" s="8" t="str">
        <f aca="false">IF(B388&lt;25,"Gen Z",IF(B388&lt;40,"Millennial",IF(B388&lt;55,"Gen X","Baby Boomer")))</f>
        <v>Baby Boomer</v>
      </c>
      <c r="M388" s="8" t="str">
        <f aca="false">IF(E388&lt;50000,"Low Income",IF(E388&lt;80000,"Middle Income",IF(E388&lt;100000,"Upper Middle","High Income")))</f>
        <v>Middle Income</v>
      </c>
      <c r="N388" s="8" t="str">
        <f aca="false">IF(F388&lt;=3,"Poor",IF(F388&lt;=6,"Average",IF(F388&lt;=8,"Good","Excellent")))</f>
        <v>Average</v>
      </c>
      <c r="O388" s="8" t="str">
        <f aca="false">IF(G388&lt;=3,"Poor",IF(G388&lt;=6,"Average",IF(G388&lt;=8,"Good","Excellent")))</f>
        <v>Average</v>
      </c>
      <c r="P388" s="8" t="str">
        <f aca="false">IF(H388&lt;=5,"Low Frequency",IF(H388&lt;=10,"Moderate",IF(H388&lt;=15,"High","Very High")))</f>
        <v>High</v>
      </c>
      <c r="Q388" s="8" t="str">
        <f aca="false">IF(K388&gt;=90,"Highly Satisfied",IF(K388&gt;=75,"Satisfied",IF(K388&gt;=60,"Neutral","Dissatisfied")))</f>
        <v>Satisfied</v>
      </c>
      <c r="R388" s="8" t="str">
        <f aca="false">UPPER(LEFT(TRIM(J388),1))&amp;LOWER(MID(TRIM(J388),2,100))</f>
        <v>Bronze</v>
      </c>
      <c r="S388" s="8" t="str">
        <f aca="false">IF(I388="High","Positive",IF(I388="Medium","Neutral","Negative"))</f>
        <v>Positive</v>
      </c>
      <c r="T388" s="8" t="str">
        <f aca="false">IF(AND(E388&gt;=80000,H388&gt;=15),"Premium",IF(AND(E388&gt;=50000,H388&gt;=10),"Standard","Basic"))</f>
        <v>Standard</v>
      </c>
      <c r="U388" s="8" t="str">
        <f aca="false">IF(AND(F388&gt;=7,G388&gt;=7),"High Quality Experience","Review Needed")</f>
        <v>Review Needed</v>
      </c>
      <c r="V388" s="8" t="str">
        <f aca="false">IF(H388&gt;=10,"Repeat Buyer","Occasional Buyer")</f>
        <v>Repeat Buyer</v>
      </c>
      <c r="W388" s="8" t="str">
        <f aca="false">IF(AND(K388&lt;70,I388="Low"),"At Risk","Stable")</f>
        <v>Stable</v>
      </c>
      <c r="X388" s="8" t="str">
        <f aca="false">IF(AND(K388&lt;75,I388="Low",J388="Bronze"),"Priority Followup","No Action")</f>
        <v>No Action</v>
      </c>
    </row>
    <row r="389" customFormat="false" ht="15" hidden="false" customHeight="false" outlineLevel="0" collapsed="false">
      <c r="A389" s="3" t="n">
        <v>387</v>
      </c>
      <c r="B389" s="3" t="n">
        <v>63</v>
      </c>
      <c r="C389" s="3" t="s">
        <v>11</v>
      </c>
      <c r="D389" s="3" t="s">
        <v>22</v>
      </c>
      <c r="E389" s="3" t="n">
        <v>40820</v>
      </c>
      <c r="F389" s="3" t="n">
        <v>8</v>
      </c>
      <c r="G389" s="3" t="n">
        <v>6</v>
      </c>
      <c r="H389" s="3" t="n">
        <v>14</v>
      </c>
      <c r="I389" s="3" t="s">
        <v>15</v>
      </c>
      <c r="J389" s="3" t="s">
        <v>19</v>
      </c>
      <c r="K389" s="3" t="n">
        <v>100</v>
      </c>
      <c r="L389" s="7" t="str">
        <f aca="false">IF(B389&lt;25,"Gen Z",IF(B389&lt;40,"Millennial",IF(B389&lt;55,"Gen X","Baby Boomer")))</f>
        <v>Baby Boomer</v>
      </c>
      <c r="M389" s="7" t="str">
        <f aca="false">IF(E389&lt;50000,"Low Income",IF(E389&lt;80000,"Middle Income",IF(E389&lt;100000,"Upper Middle","High Income")))</f>
        <v>Low Income</v>
      </c>
      <c r="N389" s="7" t="str">
        <f aca="false">IF(F389&lt;=3,"Poor",IF(F389&lt;=6,"Average",IF(F389&lt;=8,"Good","Excellent")))</f>
        <v>Good</v>
      </c>
      <c r="O389" s="7" t="str">
        <f aca="false">IF(G389&lt;=3,"Poor",IF(G389&lt;=6,"Average",IF(G389&lt;=8,"Good","Excellent")))</f>
        <v>Average</v>
      </c>
      <c r="P389" s="7" t="str">
        <f aca="false">IF(H389&lt;=5,"Low Frequency",IF(H389&lt;=10,"Moderate",IF(H389&lt;=15,"High","Very High")))</f>
        <v>High</v>
      </c>
      <c r="Q389" s="7" t="str">
        <f aca="false">IF(K389&gt;=90,"Highly Satisfied",IF(K389&gt;=75,"Satisfied",IF(K389&gt;=60,"Neutral","Dissatisfied")))</f>
        <v>Highly Satisfied</v>
      </c>
      <c r="R389" s="7" t="str">
        <f aca="false">UPPER(LEFT(TRIM(J389),1))&amp;LOWER(MID(TRIM(J389),2,100))</f>
        <v>Silver</v>
      </c>
      <c r="S389" s="7" t="str">
        <f aca="false">IF(I389="High","Positive",IF(I389="Medium","Neutral","Negative"))</f>
        <v>Neutral</v>
      </c>
      <c r="T389" s="7" t="str">
        <f aca="false">IF(AND(E389&gt;=80000,H389&gt;=15),"Premium",IF(AND(E389&gt;=50000,H389&gt;=10),"Standard","Basic"))</f>
        <v>Basic</v>
      </c>
      <c r="U389" s="7" t="str">
        <f aca="false">IF(AND(F389&gt;=7,G389&gt;=7),"High Quality Experience","Review Needed")</f>
        <v>Review Needed</v>
      </c>
      <c r="V389" s="7" t="str">
        <f aca="false">IF(H389&gt;=10,"Repeat Buyer","Occasional Buyer")</f>
        <v>Repeat Buyer</v>
      </c>
      <c r="W389" s="7" t="str">
        <f aca="false">IF(AND(K389&lt;70,I389="Low"),"At Risk","Stable")</f>
        <v>Stable</v>
      </c>
      <c r="X389" s="7" t="str">
        <f aca="false">IF(AND(K389&lt;75,I389="Low",J389="Bronze"),"Priority Followup","No Action")</f>
        <v>No Action</v>
      </c>
    </row>
    <row r="390" customFormat="false" ht="15" hidden="false" customHeight="false" outlineLevel="0" collapsed="false">
      <c r="A390" s="2" t="n">
        <v>388</v>
      </c>
      <c r="B390" s="2" t="n">
        <v>48</v>
      </c>
      <c r="C390" s="2" t="s">
        <v>17</v>
      </c>
      <c r="D390" s="2" t="s">
        <v>23</v>
      </c>
      <c r="E390" s="2" t="n">
        <v>98706</v>
      </c>
      <c r="F390" s="2" t="n">
        <v>10</v>
      </c>
      <c r="G390" s="2" t="n">
        <v>5</v>
      </c>
      <c r="H390" s="2" t="n">
        <v>6</v>
      </c>
      <c r="I390" s="2" t="s">
        <v>15</v>
      </c>
      <c r="J390" s="2" t="s">
        <v>16</v>
      </c>
      <c r="K390" s="2" t="n">
        <v>100</v>
      </c>
      <c r="L390" s="8" t="str">
        <f aca="false">IF(B390&lt;25,"Gen Z",IF(B390&lt;40,"Millennial",IF(B390&lt;55,"Gen X","Baby Boomer")))</f>
        <v>Gen X</v>
      </c>
      <c r="M390" s="8" t="str">
        <f aca="false">IF(E390&lt;50000,"Low Income",IF(E390&lt;80000,"Middle Income",IF(E390&lt;100000,"Upper Middle","High Income")))</f>
        <v>Upper Middle</v>
      </c>
      <c r="N390" s="8" t="str">
        <f aca="false">IF(F390&lt;=3,"Poor",IF(F390&lt;=6,"Average",IF(F390&lt;=8,"Good","Excellent")))</f>
        <v>Excellent</v>
      </c>
      <c r="O390" s="8" t="str">
        <f aca="false">IF(G390&lt;=3,"Poor",IF(G390&lt;=6,"Average",IF(G390&lt;=8,"Good","Excellent")))</f>
        <v>Average</v>
      </c>
      <c r="P390" s="8" t="str">
        <f aca="false">IF(H390&lt;=5,"Low Frequency",IF(H390&lt;=10,"Moderate",IF(H390&lt;=15,"High","Very High")))</f>
        <v>Moderate</v>
      </c>
      <c r="Q390" s="8" t="str">
        <f aca="false">IF(K390&gt;=90,"Highly Satisfied",IF(K390&gt;=75,"Satisfied",IF(K390&gt;=60,"Neutral","Dissatisfied")))</f>
        <v>Highly Satisfied</v>
      </c>
      <c r="R390" s="8" t="str">
        <f aca="false">UPPER(LEFT(TRIM(J390),1))&amp;LOWER(MID(TRIM(J390),2,100))</f>
        <v>Gold</v>
      </c>
      <c r="S390" s="8" t="str">
        <f aca="false">IF(I390="High","Positive",IF(I390="Medium","Neutral","Negative"))</f>
        <v>Neutral</v>
      </c>
      <c r="T390" s="8" t="str">
        <f aca="false">IF(AND(E390&gt;=80000,H390&gt;=15),"Premium",IF(AND(E390&gt;=50000,H390&gt;=10),"Standard","Basic"))</f>
        <v>Basic</v>
      </c>
      <c r="U390" s="8" t="str">
        <f aca="false">IF(AND(F390&gt;=7,G390&gt;=7),"High Quality Experience","Review Needed")</f>
        <v>Review Needed</v>
      </c>
      <c r="V390" s="8" t="str">
        <f aca="false">IF(H390&gt;=10,"Repeat Buyer","Occasional Buyer")</f>
        <v>Occasional Buyer</v>
      </c>
      <c r="W390" s="8" t="str">
        <f aca="false">IF(AND(K390&lt;70,I390="Low"),"At Risk","Stable")</f>
        <v>Stable</v>
      </c>
      <c r="X390" s="8" t="str">
        <f aca="false">IF(AND(K390&lt;75,I390="Low",J390="Bronze"),"Priority Followup","No Action")</f>
        <v>No Action</v>
      </c>
    </row>
    <row r="391" customFormat="false" ht="15" hidden="false" customHeight="false" outlineLevel="0" collapsed="false">
      <c r="A391" s="3" t="n">
        <v>389</v>
      </c>
      <c r="B391" s="3" t="n">
        <v>52</v>
      </c>
      <c r="C391" s="3" t="s">
        <v>17</v>
      </c>
      <c r="D391" s="3" t="s">
        <v>18</v>
      </c>
      <c r="E391" s="3" t="n">
        <v>84715</v>
      </c>
      <c r="F391" s="3" t="n">
        <v>4</v>
      </c>
      <c r="G391" s="3" t="n">
        <v>5</v>
      </c>
      <c r="H391" s="3" t="n">
        <v>2</v>
      </c>
      <c r="I391" s="3" t="s">
        <v>13</v>
      </c>
      <c r="J391" s="3" t="s">
        <v>19</v>
      </c>
      <c r="K391" s="3" t="n">
        <v>84.72</v>
      </c>
      <c r="L391" s="7" t="str">
        <f aca="false">IF(B391&lt;25,"Gen Z",IF(B391&lt;40,"Millennial",IF(B391&lt;55,"Gen X","Baby Boomer")))</f>
        <v>Gen X</v>
      </c>
      <c r="M391" s="7" t="str">
        <f aca="false">IF(E391&lt;50000,"Low Income",IF(E391&lt;80000,"Middle Income",IF(E391&lt;100000,"Upper Middle","High Income")))</f>
        <v>Upper Middle</v>
      </c>
      <c r="N391" s="7" t="str">
        <f aca="false">IF(F391&lt;=3,"Poor",IF(F391&lt;=6,"Average",IF(F391&lt;=8,"Good","Excellent")))</f>
        <v>Average</v>
      </c>
      <c r="O391" s="7" t="str">
        <f aca="false">IF(G391&lt;=3,"Poor",IF(G391&lt;=6,"Average",IF(G391&lt;=8,"Good","Excellent")))</f>
        <v>Average</v>
      </c>
      <c r="P391" s="7" t="str">
        <f aca="false">IF(H391&lt;=5,"Low Frequency",IF(H391&lt;=10,"Moderate",IF(H391&lt;=15,"High","Very High")))</f>
        <v>Low Frequency</v>
      </c>
      <c r="Q391" s="7" t="str">
        <f aca="false">IF(K391&gt;=90,"Highly Satisfied",IF(K391&gt;=75,"Satisfied",IF(K391&gt;=60,"Neutral","Dissatisfied")))</f>
        <v>Satisfied</v>
      </c>
      <c r="R391" s="7" t="str">
        <f aca="false">UPPER(LEFT(TRIM(J391),1))&amp;LOWER(MID(TRIM(J391),2,100))</f>
        <v>Silver</v>
      </c>
      <c r="S391" s="7" t="str">
        <f aca="false">IF(I391="High","Positive",IF(I391="Medium","Neutral","Negative"))</f>
        <v>Negative</v>
      </c>
      <c r="T391" s="7" t="str">
        <f aca="false">IF(AND(E391&gt;=80000,H391&gt;=15),"Premium",IF(AND(E391&gt;=50000,H391&gt;=10),"Standard","Basic"))</f>
        <v>Basic</v>
      </c>
      <c r="U391" s="7" t="str">
        <f aca="false">IF(AND(F391&gt;=7,G391&gt;=7),"High Quality Experience","Review Needed")</f>
        <v>Review Needed</v>
      </c>
      <c r="V391" s="7" t="str">
        <f aca="false">IF(H391&gt;=10,"Repeat Buyer","Occasional Buyer")</f>
        <v>Occasional Buyer</v>
      </c>
      <c r="W391" s="7" t="str">
        <f aca="false">IF(AND(K391&lt;70,I391="Low"),"At Risk","Stable")</f>
        <v>Stable</v>
      </c>
      <c r="X391" s="7" t="str">
        <f aca="false">IF(AND(K391&lt;75,I391="Low",J391="Bronze"),"Priority Followup","No Action")</f>
        <v>No Action</v>
      </c>
    </row>
    <row r="392" customFormat="false" ht="15" hidden="false" customHeight="false" outlineLevel="0" collapsed="false">
      <c r="A392" s="2" t="n">
        <v>390</v>
      </c>
      <c r="B392" s="2" t="n">
        <v>50</v>
      </c>
      <c r="C392" s="2" t="s">
        <v>11</v>
      </c>
      <c r="D392" s="2" t="s">
        <v>23</v>
      </c>
      <c r="E392" s="2" t="n">
        <v>111503</v>
      </c>
      <c r="F392" s="2" t="n">
        <v>6</v>
      </c>
      <c r="G392" s="2" t="n">
        <v>5</v>
      </c>
      <c r="H392" s="2" t="n">
        <v>7</v>
      </c>
      <c r="I392" s="2" t="s">
        <v>13</v>
      </c>
      <c r="J392" s="2" t="s">
        <v>14</v>
      </c>
      <c r="K392" s="2" t="n">
        <v>100</v>
      </c>
      <c r="L392" s="8" t="str">
        <f aca="false">IF(B392&lt;25,"Gen Z",IF(B392&lt;40,"Millennial",IF(B392&lt;55,"Gen X","Baby Boomer")))</f>
        <v>Gen X</v>
      </c>
      <c r="M392" s="8" t="str">
        <f aca="false">IF(E392&lt;50000,"Low Income",IF(E392&lt;80000,"Middle Income",IF(E392&lt;100000,"Upper Middle","High Income")))</f>
        <v>High Income</v>
      </c>
      <c r="N392" s="8" t="str">
        <f aca="false">IF(F392&lt;=3,"Poor",IF(F392&lt;=6,"Average",IF(F392&lt;=8,"Good","Excellent")))</f>
        <v>Average</v>
      </c>
      <c r="O392" s="8" t="str">
        <f aca="false">IF(G392&lt;=3,"Poor",IF(G392&lt;=6,"Average",IF(G392&lt;=8,"Good","Excellent")))</f>
        <v>Average</v>
      </c>
      <c r="P392" s="8" t="str">
        <f aca="false">IF(H392&lt;=5,"Low Frequency",IF(H392&lt;=10,"Moderate",IF(H392&lt;=15,"High","Very High")))</f>
        <v>Moderate</v>
      </c>
      <c r="Q392" s="8" t="str">
        <f aca="false">IF(K392&gt;=90,"Highly Satisfied",IF(K392&gt;=75,"Satisfied",IF(K392&gt;=60,"Neutral","Dissatisfied")))</f>
        <v>Highly Satisfied</v>
      </c>
      <c r="R392" s="8" t="str">
        <f aca="false">UPPER(LEFT(TRIM(J392),1))&amp;LOWER(MID(TRIM(J392),2,100))</f>
        <v>Bronze</v>
      </c>
      <c r="S392" s="8" t="str">
        <f aca="false">IF(I392="High","Positive",IF(I392="Medium","Neutral","Negative"))</f>
        <v>Negative</v>
      </c>
      <c r="T392" s="8" t="str">
        <f aca="false">IF(AND(E392&gt;=80000,H392&gt;=15),"Premium",IF(AND(E392&gt;=50000,H392&gt;=10),"Standard","Basic"))</f>
        <v>Basic</v>
      </c>
      <c r="U392" s="8" t="str">
        <f aca="false">IF(AND(F392&gt;=7,G392&gt;=7),"High Quality Experience","Review Needed")</f>
        <v>Review Needed</v>
      </c>
      <c r="V392" s="8" t="str">
        <f aca="false">IF(H392&gt;=10,"Repeat Buyer","Occasional Buyer")</f>
        <v>Occasional Buyer</v>
      </c>
      <c r="W392" s="8" t="str">
        <f aca="false">IF(AND(K392&lt;70,I392="Low"),"At Risk","Stable")</f>
        <v>Stable</v>
      </c>
      <c r="X392" s="8" t="str">
        <f aca="false">IF(AND(K392&lt;75,I392="Low",J392="Bronze"),"Priority Followup","No Action")</f>
        <v>No Action</v>
      </c>
    </row>
    <row r="393" customFormat="false" ht="15" hidden="false" customHeight="false" outlineLevel="0" collapsed="false">
      <c r="A393" s="3" t="n">
        <v>391</v>
      </c>
      <c r="B393" s="3" t="n">
        <v>69</v>
      </c>
      <c r="C393" s="3" t="s">
        <v>17</v>
      </c>
      <c r="D393" s="3" t="s">
        <v>20</v>
      </c>
      <c r="E393" s="3" t="n">
        <v>67129</v>
      </c>
      <c r="F393" s="3" t="n">
        <v>9</v>
      </c>
      <c r="G393" s="3" t="n">
        <v>2</v>
      </c>
      <c r="H393" s="3" t="n">
        <v>19</v>
      </c>
      <c r="I393" s="3" t="s">
        <v>15</v>
      </c>
      <c r="J393" s="3" t="s">
        <v>19</v>
      </c>
      <c r="K393" s="3" t="n">
        <v>100</v>
      </c>
      <c r="L393" s="7" t="str">
        <f aca="false">IF(B393&lt;25,"Gen Z",IF(B393&lt;40,"Millennial",IF(B393&lt;55,"Gen X","Baby Boomer")))</f>
        <v>Baby Boomer</v>
      </c>
      <c r="M393" s="7" t="str">
        <f aca="false">IF(E393&lt;50000,"Low Income",IF(E393&lt;80000,"Middle Income",IF(E393&lt;100000,"Upper Middle","High Income")))</f>
        <v>Middle Income</v>
      </c>
      <c r="N393" s="7" t="str">
        <f aca="false">IF(F393&lt;=3,"Poor",IF(F393&lt;=6,"Average",IF(F393&lt;=8,"Good","Excellent")))</f>
        <v>Excellent</v>
      </c>
      <c r="O393" s="7" t="str">
        <f aca="false">IF(G393&lt;=3,"Poor",IF(G393&lt;=6,"Average",IF(G393&lt;=8,"Good","Excellent")))</f>
        <v>Poor</v>
      </c>
      <c r="P393" s="7" t="str">
        <f aca="false">IF(H393&lt;=5,"Low Frequency",IF(H393&lt;=10,"Moderate",IF(H393&lt;=15,"High","Very High")))</f>
        <v>Very High</v>
      </c>
      <c r="Q393" s="7" t="str">
        <f aca="false">IF(K393&gt;=90,"Highly Satisfied",IF(K393&gt;=75,"Satisfied",IF(K393&gt;=60,"Neutral","Dissatisfied")))</f>
        <v>Highly Satisfied</v>
      </c>
      <c r="R393" s="7" t="str">
        <f aca="false">UPPER(LEFT(TRIM(J393),1))&amp;LOWER(MID(TRIM(J393),2,100))</f>
        <v>Silver</v>
      </c>
      <c r="S393" s="7" t="str">
        <f aca="false">IF(I393="High","Positive",IF(I393="Medium","Neutral","Negative"))</f>
        <v>Neutral</v>
      </c>
      <c r="T393" s="7" t="str">
        <f aca="false">IF(AND(E393&gt;=80000,H393&gt;=15),"Premium",IF(AND(E393&gt;=50000,H393&gt;=10),"Standard","Basic"))</f>
        <v>Standard</v>
      </c>
      <c r="U393" s="7" t="str">
        <f aca="false">IF(AND(F393&gt;=7,G393&gt;=7),"High Quality Experience","Review Needed")</f>
        <v>Review Needed</v>
      </c>
      <c r="V393" s="7" t="str">
        <f aca="false">IF(H393&gt;=10,"Repeat Buyer","Occasional Buyer")</f>
        <v>Repeat Buyer</v>
      </c>
      <c r="W393" s="7" t="str">
        <f aca="false">IF(AND(K393&lt;70,I393="Low"),"At Risk","Stable")</f>
        <v>Stable</v>
      </c>
      <c r="X393" s="7" t="str">
        <f aca="false">IF(AND(K393&lt;75,I393="Low",J393="Bronze"),"Priority Followup","No Action")</f>
        <v>No Action</v>
      </c>
    </row>
    <row r="394" customFormat="false" ht="15" hidden="false" customHeight="false" outlineLevel="0" collapsed="false">
      <c r="A394" s="2" t="n">
        <v>392</v>
      </c>
      <c r="B394" s="2" t="n">
        <v>38</v>
      </c>
      <c r="C394" s="2" t="s">
        <v>11</v>
      </c>
      <c r="D394" s="2" t="s">
        <v>18</v>
      </c>
      <c r="E394" s="2" t="n">
        <v>87565</v>
      </c>
      <c r="F394" s="2" t="n">
        <v>9</v>
      </c>
      <c r="G394" s="2" t="n">
        <v>10</v>
      </c>
      <c r="H394" s="2" t="n">
        <v>12</v>
      </c>
      <c r="I394" s="2" t="s">
        <v>21</v>
      </c>
      <c r="J394" s="2" t="s">
        <v>19</v>
      </c>
      <c r="K394" s="2" t="n">
        <v>100</v>
      </c>
      <c r="L394" s="8" t="str">
        <f aca="false">IF(B394&lt;25,"Gen Z",IF(B394&lt;40,"Millennial",IF(B394&lt;55,"Gen X","Baby Boomer")))</f>
        <v>Millennial</v>
      </c>
      <c r="M394" s="8" t="str">
        <f aca="false">IF(E394&lt;50000,"Low Income",IF(E394&lt;80000,"Middle Income",IF(E394&lt;100000,"Upper Middle","High Income")))</f>
        <v>Upper Middle</v>
      </c>
      <c r="N394" s="8" t="str">
        <f aca="false">IF(F394&lt;=3,"Poor",IF(F394&lt;=6,"Average",IF(F394&lt;=8,"Good","Excellent")))</f>
        <v>Excellent</v>
      </c>
      <c r="O394" s="8" t="str">
        <f aca="false">IF(G394&lt;=3,"Poor",IF(G394&lt;=6,"Average",IF(G394&lt;=8,"Good","Excellent")))</f>
        <v>Excellent</v>
      </c>
      <c r="P394" s="8" t="str">
        <f aca="false">IF(H394&lt;=5,"Low Frequency",IF(H394&lt;=10,"Moderate",IF(H394&lt;=15,"High","Very High")))</f>
        <v>High</v>
      </c>
      <c r="Q394" s="8" t="str">
        <f aca="false">IF(K394&gt;=90,"Highly Satisfied",IF(K394&gt;=75,"Satisfied",IF(K394&gt;=60,"Neutral","Dissatisfied")))</f>
        <v>Highly Satisfied</v>
      </c>
      <c r="R394" s="8" t="str">
        <f aca="false">UPPER(LEFT(TRIM(J394),1))&amp;LOWER(MID(TRIM(J394),2,100))</f>
        <v>Silver</v>
      </c>
      <c r="S394" s="8" t="str">
        <f aca="false">IF(I394="High","Positive",IF(I394="Medium","Neutral","Negative"))</f>
        <v>Positive</v>
      </c>
      <c r="T394" s="8" t="str">
        <f aca="false">IF(AND(E394&gt;=80000,H394&gt;=15),"Premium",IF(AND(E394&gt;=50000,H394&gt;=10),"Standard","Basic"))</f>
        <v>Standard</v>
      </c>
      <c r="U394" s="8" t="str">
        <f aca="false">IF(AND(F394&gt;=7,G394&gt;=7),"High Quality Experience","Review Needed")</f>
        <v>High Quality Experience</v>
      </c>
      <c r="V394" s="8" t="str">
        <f aca="false">IF(H394&gt;=10,"Repeat Buyer","Occasional Buyer")</f>
        <v>Repeat Buyer</v>
      </c>
      <c r="W394" s="8" t="str">
        <f aca="false">IF(AND(K394&lt;70,I394="Low"),"At Risk","Stable")</f>
        <v>Stable</v>
      </c>
      <c r="X394" s="8" t="str">
        <f aca="false">IF(AND(K394&lt;75,I394="Low",J394="Bronze"),"Priority Followup","No Action")</f>
        <v>No Action</v>
      </c>
    </row>
    <row r="395" customFormat="false" ht="15" hidden="false" customHeight="false" outlineLevel="0" collapsed="false">
      <c r="A395" s="3" t="n">
        <v>393</v>
      </c>
      <c r="B395" s="3" t="n">
        <v>49</v>
      </c>
      <c r="C395" s="3" t="s">
        <v>11</v>
      </c>
      <c r="D395" s="3" t="s">
        <v>18</v>
      </c>
      <c r="E395" s="3" t="n">
        <v>52664</v>
      </c>
      <c r="F395" s="3" t="n">
        <v>9</v>
      </c>
      <c r="G395" s="3" t="n">
        <v>5</v>
      </c>
      <c r="H395" s="3" t="n">
        <v>7</v>
      </c>
      <c r="I395" s="3" t="s">
        <v>15</v>
      </c>
      <c r="J395" s="3" t="s">
        <v>16</v>
      </c>
      <c r="K395" s="3" t="n">
        <v>99.65</v>
      </c>
      <c r="L395" s="7" t="str">
        <f aca="false">IF(B395&lt;25,"Gen Z",IF(B395&lt;40,"Millennial",IF(B395&lt;55,"Gen X","Baby Boomer")))</f>
        <v>Gen X</v>
      </c>
      <c r="M395" s="7" t="str">
        <f aca="false">IF(E395&lt;50000,"Low Income",IF(E395&lt;80000,"Middle Income",IF(E395&lt;100000,"Upper Middle","High Income")))</f>
        <v>Middle Income</v>
      </c>
      <c r="N395" s="7" t="str">
        <f aca="false">IF(F395&lt;=3,"Poor",IF(F395&lt;=6,"Average",IF(F395&lt;=8,"Good","Excellent")))</f>
        <v>Excellent</v>
      </c>
      <c r="O395" s="7" t="str">
        <f aca="false">IF(G395&lt;=3,"Poor",IF(G395&lt;=6,"Average",IF(G395&lt;=8,"Good","Excellent")))</f>
        <v>Average</v>
      </c>
      <c r="P395" s="7" t="str">
        <f aca="false">IF(H395&lt;=5,"Low Frequency",IF(H395&lt;=10,"Moderate",IF(H395&lt;=15,"High","Very High")))</f>
        <v>Moderate</v>
      </c>
      <c r="Q395" s="7" t="str">
        <f aca="false">IF(K395&gt;=90,"Highly Satisfied",IF(K395&gt;=75,"Satisfied",IF(K395&gt;=60,"Neutral","Dissatisfied")))</f>
        <v>Highly Satisfied</v>
      </c>
      <c r="R395" s="7" t="str">
        <f aca="false">UPPER(LEFT(TRIM(J395),1))&amp;LOWER(MID(TRIM(J395),2,100))</f>
        <v>Gold</v>
      </c>
      <c r="S395" s="7" t="str">
        <f aca="false">IF(I395="High","Positive",IF(I395="Medium","Neutral","Negative"))</f>
        <v>Neutral</v>
      </c>
      <c r="T395" s="7" t="str">
        <f aca="false">IF(AND(E395&gt;=80000,H395&gt;=15),"Premium",IF(AND(E395&gt;=50000,H395&gt;=10),"Standard","Basic"))</f>
        <v>Basic</v>
      </c>
      <c r="U395" s="7" t="str">
        <f aca="false">IF(AND(F395&gt;=7,G395&gt;=7),"High Quality Experience","Review Needed")</f>
        <v>Review Needed</v>
      </c>
      <c r="V395" s="7" t="str">
        <f aca="false">IF(H395&gt;=10,"Repeat Buyer","Occasional Buyer")</f>
        <v>Occasional Buyer</v>
      </c>
      <c r="W395" s="7" t="str">
        <f aca="false">IF(AND(K395&lt;70,I395="Low"),"At Risk","Stable")</f>
        <v>Stable</v>
      </c>
      <c r="X395" s="7" t="str">
        <f aca="false">IF(AND(K395&lt;75,I395="Low",J395="Bronze"),"Priority Followup","No Action")</f>
        <v>No Action</v>
      </c>
    </row>
    <row r="396" customFormat="false" ht="15" hidden="false" customHeight="false" outlineLevel="0" collapsed="false">
      <c r="A396" s="2" t="n">
        <v>394</v>
      </c>
      <c r="B396" s="2" t="n">
        <v>40</v>
      </c>
      <c r="C396" s="2" t="s">
        <v>17</v>
      </c>
      <c r="D396" s="2" t="s">
        <v>18</v>
      </c>
      <c r="E396" s="2" t="n">
        <v>91333</v>
      </c>
      <c r="F396" s="2" t="n">
        <v>4</v>
      </c>
      <c r="G396" s="2" t="n">
        <v>3</v>
      </c>
      <c r="H396" s="2" t="n">
        <v>19</v>
      </c>
      <c r="I396" s="2" t="s">
        <v>15</v>
      </c>
      <c r="J396" s="2" t="s">
        <v>19</v>
      </c>
      <c r="K396" s="2" t="n">
        <v>100</v>
      </c>
      <c r="L396" s="8" t="str">
        <f aca="false">IF(B396&lt;25,"Gen Z",IF(B396&lt;40,"Millennial",IF(B396&lt;55,"Gen X","Baby Boomer")))</f>
        <v>Gen X</v>
      </c>
      <c r="M396" s="8" t="str">
        <f aca="false">IF(E396&lt;50000,"Low Income",IF(E396&lt;80000,"Middle Income",IF(E396&lt;100000,"Upper Middle","High Income")))</f>
        <v>Upper Middle</v>
      </c>
      <c r="N396" s="8" t="str">
        <f aca="false">IF(F396&lt;=3,"Poor",IF(F396&lt;=6,"Average",IF(F396&lt;=8,"Good","Excellent")))</f>
        <v>Average</v>
      </c>
      <c r="O396" s="8" t="str">
        <f aca="false">IF(G396&lt;=3,"Poor",IF(G396&lt;=6,"Average",IF(G396&lt;=8,"Good","Excellent")))</f>
        <v>Poor</v>
      </c>
      <c r="P396" s="8" t="str">
        <f aca="false">IF(H396&lt;=5,"Low Frequency",IF(H396&lt;=10,"Moderate",IF(H396&lt;=15,"High","Very High")))</f>
        <v>Very High</v>
      </c>
      <c r="Q396" s="8" t="str">
        <f aca="false">IF(K396&gt;=90,"Highly Satisfied",IF(K396&gt;=75,"Satisfied",IF(K396&gt;=60,"Neutral","Dissatisfied")))</f>
        <v>Highly Satisfied</v>
      </c>
      <c r="R396" s="8" t="str">
        <f aca="false">UPPER(LEFT(TRIM(J396),1))&amp;LOWER(MID(TRIM(J396),2,100))</f>
        <v>Silver</v>
      </c>
      <c r="S396" s="8" t="str">
        <f aca="false">IF(I396="High","Positive",IF(I396="Medium","Neutral","Negative"))</f>
        <v>Neutral</v>
      </c>
      <c r="T396" s="8" t="str">
        <f aca="false">IF(AND(E396&gt;=80000,H396&gt;=15),"Premium",IF(AND(E396&gt;=50000,H396&gt;=10),"Standard","Basic"))</f>
        <v>Premium</v>
      </c>
      <c r="U396" s="8" t="str">
        <f aca="false">IF(AND(F396&gt;=7,G396&gt;=7),"High Quality Experience","Review Needed")</f>
        <v>Review Needed</v>
      </c>
      <c r="V396" s="8" t="str">
        <f aca="false">IF(H396&gt;=10,"Repeat Buyer","Occasional Buyer")</f>
        <v>Repeat Buyer</v>
      </c>
      <c r="W396" s="8" t="str">
        <f aca="false">IF(AND(K396&lt;70,I396="Low"),"At Risk","Stable")</f>
        <v>Stable</v>
      </c>
      <c r="X396" s="8" t="str">
        <f aca="false">IF(AND(K396&lt;75,I396="Low",J396="Bronze"),"Priority Followup","No Action")</f>
        <v>No Action</v>
      </c>
    </row>
    <row r="397" customFormat="false" ht="15" hidden="false" customHeight="false" outlineLevel="0" collapsed="false">
      <c r="A397" s="3" t="n">
        <v>395</v>
      </c>
      <c r="B397" s="3" t="n">
        <v>50</v>
      </c>
      <c r="C397" s="3" t="s">
        <v>17</v>
      </c>
      <c r="D397" s="3" t="s">
        <v>23</v>
      </c>
      <c r="E397" s="3" t="n">
        <v>75204</v>
      </c>
      <c r="F397" s="3" t="n">
        <v>7</v>
      </c>
      <c r="G397" s="3" t="n">
        <v>9</v>
      </c>
      <c r="H397" s="3" t="n">
        <v>11</v>
      </c>
      <c r="I397" s="3" t="s">
        <v>15</v>
      </c>
      <c r="J397" s="3" t="s">
        <v>14</v>
      </c>
      <c r="K397" s="3" t="n">
        <v>100</v>
      </c>
      <c r="L397" s="7" t="str">
        <f aca="false">IF(B397&lt;25,"Gen Z",IF(B397&lt;40,"Millennial",IF(B397&lt;55,"Gen X","Baby Boomer")))</f>
        <v>Gen X</v>
      </c>
      <c r="M397" s="7" t="str">
        <f aca="false">IF(E397&lt;50000,"Low Income",IF(E397&lt;80000,"Middle Income",IF(E397&lt;100000,"Upper Middle","High Income")))</f>
        <v>Middle Income</v>
      </c>
      <c r="N397" s="7" t="str">
        <f aca="false">IF(F397&lt;=3,"Poor",IF(F397&lt;=6,"Average",IF(F397&lt;=8,"Good","Excellent")))</f>
        <v>Good</v>
      </c>
      <c r="O397" s="7" t="str">
        <f aca="false">IF(G397&lt;=3,"Poor",IF(G397&lt;=6,"Average",IF(G397&lt;=8,"Good","Excellent")))</f>
        <v>Excellent</v>
      </c>
      <c r="P397" s="7" t="str">
        <f aca="false">IF(H397&lt;=5,"Low Frequency",IF(H397&lt;=10,"Moderate",IF(H397&lt;=15,"High","Very High")))</f>
        <v>High</v>
      </c>
      <c r="Q397" s="7" t="str">
        <f aca="false">IF(K397&gt;=90,"Highly Satisfied",IF(K397&gt;=75,"Satisfied",IF(K397&gt;=60,"Neutral","Dissatisfied")))</f>
        <v>Highly Satisfied</v>
      </c>
      <c r="R397" s="7" t="str">
        <f aca="false">UPPER(LEFT(TRIM(J397),1))&amp;LOWER(MID(TRIM(J397),2,100))</f>
        <v>Bronze</v>
      </c>
      <c r="S397" s="7" t="str">
        <f aca="false">IF(I397="High","Positive",IF(I397="Medium","Neutral","Negative"))</f>
        <v>Neutral</v>
      </c>
      <c r="T397" s="7" t="str">
        <f aca="false">IF(AND(E397&gt;=80000,H397&gt;=15),"Premium",IF(AND(E397&gt;=50000,H397&gt;=10),"Standard","Basic"))</f>
        <v>Standard</v>
      </c>
      <c r="U397" s="7" t="str">
        <f aca="false">IF(AND(F397&gt;=7,G397&gt;=7),"High Quality Experience","Review Needed")</f>
        <v>High Quality Experience</v>
      </c>
      <c r="V397" s="7" t="str">
        <f aca="false">IF(H397&gt;=10,"Repeat Buyer","Occasional Buyer")</f>
        <v>Repeat Buyer</v>
      </c>
      <c r="W397" s="7" t="str">
        <f aca="false">IF(AND(K397&lt;70,I397="Low"),"At Risk","Stable")</f>
        <v>Stable</v>
      </c>
      <c r="X397" s="7" t="str">
        <f aca="false">IF(AND(K397&lt;75,I397="Low",J397="Bronze"),"Priority Followup","No Action")</f>
        <v>No Action</v>
      </c>
    </row>
    <row r="398" customFormat="false" ht="15" hidden="false" customHeight="false" outlineLevel="0" collapsed="false">
      <c r="A398" s="2" t="n">
        <v>396</v>
      </c>
      <c r="B398" s="2" t="n">
        <v>20</v>
      </c>
      <c r="C398" s="2" t="s">
        <v>11</v>
      </c>
      <c r="D398" s="2" t="s">
        <v>12</v>
      </c>
      <c r="E398" s="2" t="n">
        <v>30126</v>
      </c>
      <c r="F398" s="2" t="n">
        <v>6</v>
      </c>
      <c r="G398" s="2" t="n">
        <v>10</v>
      </c>
      <c r="H398" s="2" t="n">
        <v>5</v>
      </c>
      <c r="I398" s="2" t="s">
        <v>13</v>
      </c>
      <c r="J398" s="2" t="s">
        <v>16</v>
      </c>
      <c r="K398" s="2" t="n">
        <v>96.5</v>
      </c>
      <c r="L398" s="8" t="str">
        <f aca="false">IF(B398&lt;25,"Gen Z",IF(B398&lt;40,"Millennial",IF(B398&lt;55,"Gen X","Baby Boomer")))</f>
        <v>Gen Z</v>
      </c>
      <c r="M398" s="8" t="str">
        <f aca="false">IF(E398&lt;50000,"Low Income",IF(E398&lt;80000,"Middle Income",IF(E398&lt;100000,"Upper Middle","High Income")))</f>
        <v>Low Income</v>
      </c>
      <c r="N398" s="8" t="str">
        <f aca="false">IF(F398&lt;=3,"Poor",IF(F398&lt;=6,"Average",IF(F398&lt;=8,"Good","Excellent")))</f>
        <v>Average</v>
      </c>
      <c r="O398" s="8" t="str">
        <f aca="false">IF(G398&lt;=3,"Poor",IF(G398&lt;=6,"Average",IF(G398&lt;=8,"Good","Excellent")))</f>
        <v>Excellent</v>
      </c>
      <c r="P398" s="8" t="str">
        <f aca="false">IF(H398&lt;=5,"Low Frequency",IF(H398&lt;=10,"Moderate",IF(H398&lt;=15,"High","Very High")))</f>
        <v>Low Frequency</v>
      </c>
      <c r="Q398" s="8" t="str">
        <f aca="false">IF(K398&gt;=90,"Highly Satisfied",IF(K398&gt;=75,"Satisfied",IF(K398&gt;=60,"Neutral","Dissatisfied")))</f>
        <v>Highly Satisfied</v>
      </c>
      <c r="R398" s="8" t="str">
        <f aca="false">UPPER(LEFT(TRIM(J398),1))&amp;LOWER(MID(TRIM(J398),2,100))</f>
        <v>Gold</v>
      </c>
      <c r="S398" s="8" t="str">
        <f aca="false">IF(I398="High","Positive",IF(I398="Medium","Neutral","Negative"))</f>
        <v>Negative</v>
      </c>
      <c r="T398" s="8" t="str">
        <f aca="false">IF(AND(E398&gt;=80000,H398&gt;=15),"Premium",IF(AND(E398&gt;=50000,H398&gt;=10),"Standard","Basic"))</f>
        <v>Basic</v>
      </c>
      <c r="U398" s="8" t="str">
        <f aca="false">IF(AND(F398&gt;=7,G398&gt;=7),"High Quality Experience","Review Needed")</f>
        <v>Review Needed</v>
      </c>
      <c r="V398" s="8" t="str">
        <f aca="false">IF(H398&gt;=10,"Repeat Buyer","Occasional Buyer")</f>
        <v>Occasional Buyer</v>
      </c>
      <c r="W398" s="8" t="str">
        <f aca="false">IF(AND(K398&lt;70,I398="Low"),"At Risk","Stable")</f>
        <v>Stable</v>
      </c>
      <c r="X398" s="8" t="str">
        <f aca="false">IF(AND(K398&lt;75,I398="Low",J398="Bronze"),"Priority Followup","No Action")</f>
        <v>No Action</v>
      </c>
    </row>
    <row r="399" customFormat="false" ht="15" hidden="false" customHeight="false" outlineLevel="0" collapsed="false">
      <c r="A399" s="3" t="n">
        <v>397</v>
      </c>
      <c r="B399" s="3" t="n">
        <v>35</v>
      </c>
      <c r="C399" s="3" t="s">
        <v>17</v>
      </c>
      <c r="D399" s="3" t="s">
        <v>22</v>
      </c>
      <c r="E399" s="3" t="n">
        <v>72223</v>
      </c>
      <c r="F399" s="3" t="n">
        <v>4</v>
      </c>
      <c r="G399" s="3" t="n">
        <v>10</v>
      </c>
      <c r="H399" s="3" t="n">
        <v>20</v>
      </c>
      <c r="I399" s="3" t="s">
        <v>15</v>
      </c>
      <c r="J399" s="3" t="s">
        <v>19</v>
      </c>
      <c r="K399" s="3" t="n">
        <v>100</v>
      </c>
      <c r="L399" s="7" t="str">
        <f aca="false">IF(B399&lt;25,"Gen Z",IF(B399&lt;40,"Millennial",IF(B399&lt;55,"Gen X","Baby Boomer")))</f>
        <v>Millennial</v>
      </c>
      <c r="M399" s="7" t="str">
        <f aca="false">IF(E399&lt;50000,"Low Income",IF(E399&lt;80000,"Middle Income",IF(E399&lt;100000,"Upper Middle","High Income")))</f>
        <v>Middle Income</v>
      </c>
      <c r="N399" s="7" t="str">
        <f aca="false">IF(F399&lt;=3,"Poor",IF(F399&lt;=6,"Average",IF(F399&lt;=8,"Good","Excellent")))</f>
        <v>Average</v>
      </c>
      <c r="O399" s="7" t="str">
        <f aca="false">IF(G399&lt;=3,"Poor",IF(G399&lt;=6,"Average",IF(G399&lt;=8,"Good","Excellent")))</f>
        <v>Excellent</v>
      </c>
      <c r="P399" s="7" t="str">
        <f aca="false">IF(H399&lt;=5,"Low Frequency",IF(H399&lt;=10,"Moderate",IF(H399&lt;=15,"High","Very High")))</f>
        <v>Very High</v>
      </c>
      <c r="Q399" s="7" t="str">
        <f aca="false">IF(K399&gt;=90,"Highly Satisfied",IF(K399&gt;=75,"Satisfied",IF(K399&gt;=60,"Neutral","Dissatisfied")))</f>
        <v>Highly Satisfied</v>
      </c>
      <c r="R399" s="7" t="str">
        <f aca="false">UPPER(LEFT(TRIM(J399),1))&amp;LOWER(MID(TRIM(J399),2,100))</f>
        <v>Silver</v>
      </c>
      <c r="S399" s="7" t="str">
        <f aca="false">IF(I399="High","Positive",IF(I399="Medium","Neutral","Negative"))</f>
        <v>Neutral</v>
      </c>
      <c r="T399" s="7" t="str">
        <f aca="false">IF(AND(E399&gt;=80000,H399&gt;=15),"Premium",IF(AND(E399&gt;=50000,H399&gt;=10),"Standard","Basic"))</f>
        <v>Standard</v>
      </c>
      <c r="U399" s="7" t="str">
        <f aca="false">IF(AND(F399&gt;=7,G399&gt;=7),"High Quality Experience","Review Needed")</f>
        <v>Review Needed</v>
      </c>
      <c r="V399" s="7" t="str">
        <f aca="false">IF(H399&gt;=10,"Repeat Buyer","Occasional Buyer")</f>
        <v>Repeat Buyer</v>
      </c>
      <c r="W399" s="7" t="str">
        <f aca="false">IF(AND(K399&lt;70,I399="Low"),"At Risk","Stable")</f>
        <v>Stable</v>
      </c>
      <c r="X399" s="7" t="str">
        <f aca="false">IF(AND(K399&lt;75,I399="Low",J399="Bronze"),"Priority Followup","No Action")</f>
        <v>No Action</v>
      </c>
    </row>
    <row r="400" customFormat="false" ht="15" hidden="false" customHeight="false" outlineLevel="0" collapsed="false">
      <c r="A400" s="2" t="n">
        <v>398</v>
      </c>
      <c r="B400" s="2" t="n">
        <v>42</v>
      </c>
      <c r="C400" s="2" t="s">
        <v>11</v>
      </c>
      <c r="D400" s="2" t="s">
        <v>18</v>
      </c>
      <c r="E400" s="2" t="n">
        <v>73286</v>
      </c>
      <c r="F400" s="2" t="n">
        <v>10</v>
      </c>
      <c r="G400" s="2" t="n">
        <v>6</v>
      </c>
      <c r="H400" s="2" t="n">
        <v>16</v>
      </c>
      <c r="I400" s="2" t="s">
        <v>13</v>
      </c>
      <c r="J400" s="2" t="s">
        <v>14</v>
      </c>
      <c r="K400" s="2" t="n">
        <v>100</v>
      </c>
      <c r="L400" s="8" t="str">
        <f aca="false">IF(B400&lt;25,"Gen Z",IF(B400&lt;40,"Millennial",IF(B400&lt;55,"Gen X","Baby Boomer")))</f>
        <v>Gen X</v>
      </c>
      <c r="M400" s="8" t="str">
        <f aca="false">IF(E400&lt;50000,"Low Income",IF(E400&lt;80000,"Middle Income",IF(E400&lt;100000,"Upper Middle","High Income")))</f>
        <v>Middle Income</v>
      </c>
      <c r="N400" s="8" t="str">
        <f aca="false">IF(F400&lt;=3,"Poor",IF(F400&lt;=6,"Average",IF(F400&lt;=8,"Good","Excellent")))</f>
        <v>Excellent</v>
      </c>
      <c r="O400" s="8" t="str">
        <f aca="false">IF(G400&lt;=3,"Poor",IF(G400&lt;=6,"Average",IF(G400&lt;=8,"Good","Excellent")))</f>
        <v>Average</v>
      </c>
      <c r="P400" s="8" t="str">
        <f aca="false">IF(H400&lt;=5,"Low Frequency",IF(H400&lt;=10,"Moderate",IF(H400&lt;=15,"High","Very High")))</f>
        <v>Very High</v>
      </c>
      <c r="Q400" s="8" t="str">
        <f aca="false">IF(K400&gt;=90,"Highly Satisfied",IF(K400&gt;=75,"Satisfied",IF(K400&gt;=60,"Neutral","Dissatisfied")))</f>
        <v>Highly Satisfied</v>
      </c>
      <c r="R400" s="8" t="str">
        <f aca="false">UPPER(LEFT(TRIM(J400),1))&amp;LOWER(MID(TRIM(J400),2,100))</f>
        <v>Bronze</v>
      </c>
      <c r="S400" s="8" t="str">
        <f aca="false">IF(I400="High","Positive",IF(I400="Medium","Neutral","Negative"))</f>
        <v>Negative</v>
      </c>
      <c r="T400" s="8" t="str">
        <f aca="false">IF(AND(E400&gt;=80000,H400&gt;=15),"Premium",IF(AND(E400&gt;=50000,H400&gt;=10),"Standard","Basic"))</f>
        <v>Standard</v>
      </c>
      <c r="U400" s="8" t="str">
        <f aca="false">IF(AND(F400&gt;=7,G400&gt;=7),"High Quality Experience","Review Needed")</f>
        <v>Review Needed</v>
      </c>
      <c r="V400" s="8" t="str">
        <f aca="false">IF(H400&gt;=10,"Repeat Buyer","Occasional Buyer")</f>
        <v>Repeat Buyer</v>
      </c>
      <c r="W400" s="8" t="str">
        <f aca="false">IF(AND(K400&lt;70,I400="Low"),"At Risk","Stable")</f>
        <v>Stable</v>
      </c>
      <c r="X400" s="8" t="str">
        <f aca="false">IF(AND(K400&lt;75,I400="Low",J400="Bronze"),"Priority Followup","No Action")</f>
        <v>No Action</v>
      </c>
    </row>
    <row r="401" customFormat="false" ht="15" hidden="false" customHeight="false" outlineLevel="0" collapsed="false">
      <c r="A401" s="3" t="n">
        <v>399</v>
      </c>
      <c r="B401" s="3" t="n">
        <v>59</v>
      </c>
      <c r="C401" s="3" t="s">
        <v>11</v>
      </c>
      <c r="D401" s="3" t="s">
        <v>22</v>
      </c>
      <c r="E401" s="3" t="n">
        <v>69996</v>
      </c>
      <c r="F401" s="3" t="n">
        <v>8</v>
      </c>
      <c r="G401" s="3" t="n">
        <v>1</v>
      </c>
      <c r="H401" s="3" t="n">
        <v>9</v>
      </c>
      <c r="I401" s="3" t="s">
        <v>13</v>
      </c>
      <c r="J401" s="3" t="s">
        <v>14</v>
      </c>
      <c r="K401" s="3" t="n">
        <v>85</v>
      </c>
      <c r="L401" s="7" t="str">
        <f aca="false">IF(B401&lt;25,"Gen Z",IF(B401&lt;40,"Millennial",IF(B401&lt;55,"Gen X","Baby Boomer")))</f>
        <v>Baby Boomer</v>
      </c>
      <c r="M401" s="7" t="str">
        <f aca="false">IF(E401&lt;50000,"Low Income",IF(E401&lt;80000,"Middle Income",IF(E401&lt;100000,"Upper Middle","High Income")))</f>
        <v>Middle Income</v>
      </c>
      <c r="N401" s="7" t="str">
        <f aca="false">IF(F401&lt;=3,"Poor",IF(F401&lt;=6,"Average",IF(F401&lt;=8,"Good","Excellent")))</f>
        <v>Good</v>
      </c>
      <c r="O401" s="7" t="str">
        <f aca="false">IF(G401&lt;=3,"Poor",IF(G401&lt;=6,"Average",IF(G401&lt;=8,"Good","Excellent")))</f>
        <v>Poor</v>
      </c>
      <c r="P401" s="7" t="str">
        <f aca="false">IF(H401&lt;=5,"Low Frequency",IF(H401&lt;=10,"Moderate",IF(H401&lt;=15,"High","Very High")))</f>
        <v>Moderate</v>
      </c>
      <c r="Q401" s="7" t="str">
        <f aca="false">IF(K401&gt;=90,"Highly Satisfied",IF(K401&gt;=75,"Satisfied",IF(K401&gt;=60,"Neutral","Dissatisfied")))</f>
        <v>Satisfied</v>
      </c>
      <c r="R401" s="7" t="str">
        <f aca="false">UPPER(LEFT(TRIM(J401),1))&amp;LOWER(MID(TRIM(J401),2,100))</f>
        <v>Bronze</v>
      </c>
      <c r="S401" s="7" t="str">
        <f aca="false">IF(I401="High","Positive",IF(I401="Medium","Neutral","Negative"))</f>
        <v>Negative</v>
      </c>
      <c r="T401" s="7" t="str">
        <f aca="false">IF(AND(E401&gt;=80000,H401&gt;=15),"Premium",IF(AND(E401&gt;=50000,H401&gt;=10),"Standard","Basic"))</f>
        <v>Basic</v>
      </c>
      <c r="U401" s="7" t="str">
        <f aca="false">IF(AND(F401&gt;=7,G401&gt;=7),"High Quality Experience","Review Needed")</f>
        <v>Review Needed</v>
      </c>
      <c r="V401" s="7" t="str">
        <f aca="false">IF(H401&gt;=10,"Repeat Buyer","Occasional Buyer")</f>
        <v>Occasional Buyer</v>
      </c>
      <c r="W401" s="7" t="str">
        <f aca="false">IF(AND(K401&lt;70,I401="Low"),"At Risk","Stable")</f>
        <v>Stable</v>
      </c>
      <c r="X401" s="7" t="str">
        <f aca="false">IF(AND(K401&lt;75,I401="Low",J401="Bronze"),"Priority Followup","No Action")</f>
        <v>No Action</v>
      </c>
    </row>
    <row r="402" customFormat="false" ht="15" hidden="false" customHeight="false" outlineLevel="0" collapsed="false">
      <c r="A402" s="2" t="n">
        <v>400</v>
      </c>
      <c r="B402" s="2" t="n">
        <v>48</v>
      </c>
      <c r="C402" s="2" t="s">
        <v>17</v>
      </c>
      <c r="D402" s="2" t="s">
        <v>22</v>
      </c>
      <c r="E402" s="2" t="n">
        <v>56206</v>
      </c>
      <c r="F402" s="2" t="n">
        <v>7</v>
      </c>
      <c r="G402" s="2" t="n">
        <v>9</v>
      </c>
      <c r="H402" s="2" t="n">
        <v>7</v>
      </c>
      <c r="I402" s="2" t="s">
        <v>21</v>
      </c>
      <c r="J402" s="2" t="s">
        <v>16</v>
      </c>
      <c r="K402" s="2" t="n">
        <v>100</v>
      </c>
      <c r="L402" s="8" t="str">
        <f aca="false">IF(B402&lt;25,"Gen Z",IF(B402&lt;40,"Millennial",IF(B402&lt;55,"Gen X","Baby Boomer")))</f>
        <v>Gen X</v>
      </c>
      <c r="M402" s="8" t="str">
        <f aca="false">IF(E402&lt;50000,"Low Income",IF(E402&lt;80000,"Middle Income",IF(E402&lt;100000,"Upper Middle","High Income")))</f>
        <v>Middle Income</v>
      </c>
      <c r="N402" s="8" t="str">
        <f aca="false">IF(F402&lt;=3,"Poor",IF(F402&lt;=6,"Average",IF(F402&lt;=8,"Good","Excellent")))</f>
        <v>Good</v>
      </c>
      <c r="O402" s="8" t="str">
        <f aca="false">IF(G402&lt;=3,"Poor",IF(G402&lt;=6,"Average",IF(G402&lt;=8,"Good","Excellent")))</f>
        <v>Excellent</v>
      </c>
      <c r="P402" s="8" t="str">
        <f aca="false">IF(H402&lt;=5,"Low Frequency",IF(H402&lt;=10,"Moderate",IF(H402&lt;=15,"High","Very High")))</f>
        <v>Moderate</v>
      </c>
      <c r="Q402" s="8" t="str">
        <f aca="false">IF(K402&gt;=90,"Highly Satisfied",IF(K402&gt;=75,"Satisfied",IF(K402&gt;=60,"Neutral","Dissatisfied")))</f>
        <v>Highly Satisfied</v>
      </c>
      <c r="R402" s="8" t="str">
        <f aca="false">UPPER(LEFT(TRIM(J402),1))&amp;LOWER(MID(TRIM(J402),2,100))</f>
        <v>Gold</v>
      </c>
      <c r="S402" s="8" t="str">
        <f aca="false">IF(I402="High","Positive",IF(I402="Medium","Neutral","Negative"))</f>
        <v>Positive</v>
      </c>
      <c r="T402" s="8" t="str">
        <f aca="false">IF(AND(E402&gt;=80000,H402&gt;=15),"Premium",IF(AND(E402&gt;=50000,H402&gt;=10),"Standard","Basic"))</f>
        <v>Basic</v>
      </c>
      <c r="U402" s="8" t="str">
        <f aca="false">IF(AND(F402&gt;=7,G402&gt;=7),"High Quality Experience","Review Needed")</f>
        <v>High Quality Experience</v>
      </c>
      <c r="V402" s="8" t="str">
        <f aca="false">IF(H402&gt;=10,"Repeat Buyer","Occasional Buyer")</f>
        <v>Occasional Buyer</v>
      </c>
      <c r="W402" s="8" t="str">
        <f aca="false">IF(AND(K402&lt;70,I402="Low"),"At Risk","Stable")</f>
        <v>Stable</v>
      </c>
      <c r="X402" s="8" t="str">
        <f aca="false">IF(AND(K402&lt;75,I402="Low",J402="Bronze"),"Priority Followup","No Action")</f>
        <v>No Action</v>
      </c>
    </row>
    <row r="403" customFormat="false" ht="15" hidden="false" customHeight="false" outlineLevel="0" collapsed="false">
      <c r="A403" s="3" t="n">
        <v>401</v>
      </c>
      <c r="B403" s="3" t="n">
        <v>20</v>
      </c>
      <c r="C403" s="3" t="s">
        <v>11</v>
      </c>
      <c r="D403" s="3" t="s">
        <v>22</v>
      </c>
      <c r="E403" s="3" t="n">
        <v>47808</v>
      </c>
      <c r="F403" s="3" t="n">
        <v>9</v>
      </c>
      <c r="G403" s="3" t="n">
        <v>8</v>
      </c>
      <c r="H403" s="3" t="n">
        <v>18</v>
      </c>
      <c r="I403" s="3" t="s">
        <v>21</v>
      </c>
      <c r="J403" s="3" t="s">
        <v>16</v>
      </c>
      <c r="K403" s="3" t="n">
        <v>99.38</v>
      </c>
      <c r="L403" s="7" t="str">
        <f aca="false">IF(B403&lt;25,"Gen Z",IF(B403&lt;40,"Millennial",IF(B403&lt;55,"Gen X","Baby Boomer")))</f>
        <v>Gen Z</v>
      </c>
      <c r="M403" s="7" t="str">
        <f aca="false">IF(E403&lt;50000,"Low Income",IF(E403&lt;80000,"Middle Income",IF(E403&lt;100000,"Upper Middle","High Income")))</f>
        <v>Low Income</v>
      </c>
      <c r="N403" s="7" t="str">
        <f aca="false">IF(F403&lt;=3,"Poor",IF(F403&lt;=6,"Average",IF(F403&lt;=8,"Good","Excellent")))</f>
        <v>Excellent</v>
      </c>
      <c r="O403" s="7" t="str">
        <f aca="false">IF(G403&lt;=3,"Poor",IF(G403&lt;=6,"Average",IF(G403&lt;=8,"Good","Excellent")))</f>
        <v>Good</v>
      </c>
      <c r="P403" s="7" t="str">
        <f aca="false">IF(H403&lt;=5,"Low Frequency",IF(H403&lt;=10,"Moderate",IF(H403&lt;=15,"High","Very High")))</f>
        <v>Very High</v>
      </c>
      <c r="Q403" s="7" t="str">
        <f aca="false">IF(K403&gt;=90,"Highly Satisfied",IF(K403&gt;=75,"Satisfied",IF(K403&gt;=60,"Neutral","Dissatisfied")))</f>
        <v>Highly Satisfied</v>
      </c>
      <c r="R403" s="7" t="str">
        <f aca="false">UPPER(LEFT(TRIM(J403),1))&amp;LOWER(MID(TRIM(J403),2,100))</f>
        <v>Gold</v>
      </c>
      <c r="S403" s="7" t="str">
        <f aca="false">IF(I403="High","Positive",IF(I403="Medium","Neutral","Negative"))</f>
        <v>Positive</v>
      </c>
      <c r="T403" s="7" t="str">
        <f aca="false">IF(AND(E403&gt;=80000,H403&gt;=15),"Premium",IF(AND(E403&gt;=50000,H403&gt;=10),"Standard","Basic"))</f>
        <v>Basic</v>
      </c>
      <c r="U403" s="7" t="str">
        <f aca="false">IF(AND(F403&gt;=7,G403&gt;=7),"High Quality Experience","Review Needed")</f>
        <v>High Quality Experience</v>
      </c>
      <c r="V403" s="7" t="str">
        <f aca="false">IF(H403&gt;=10,"Repeat Buyer","Occasional Buyer")</f>
        <v>Repeat Buyer</v>
      </c>
      <c r="W403" s="7" t="str">
        <f aca="false">IF(AND(K403&lt;70,I403="Low"),"At Risk","Stable")</f>
        <v>Stable</v>
      </c>
      <c r="X403" s="7" t="str">
        <f aca="false">IF(AND(K403&lt;75,I403="Low",J403="Bronze"),"Priority Followup","No Action")</f>
        <v>No Action</v>
      </c>
    </row>
    <row r="404" customFormat="false" ht="15" hidden="false" customHeight="false" outlineLevel="0" collapsed="false">
      <c r="A404" s="2" t="n">
        <v>402</v>
      </c>
      <c r="B404" s="2" t="n">
        <v>57</v>
      </c>
      <c r="C404" s="2" t="s">
        <v>17</v>
      </c>
      <c r="D404" s="2" t="s">
        <v>23</v>
      </c>
      <c r="E404" s="2" t="n">
        <v>118502</v>
      </c>
      <c r="F404" s="2" t="n">
        <v>9</v>
      </c>
      <c r="G404" s="2" t="n">
        <v>10</v>
      </c>
      <c r="H404" s="2" t="n">
        <v>8</v>
      </c>
      <c r="I404" s="2" t="s">
        <v>15</v>
      </c>
      <c r="J404" s="2" t="s">
        <v>16</v>
      </c>
      <c r="K404" s="2" t="n">
        <v>100</v>
      </c>
      <c r="L404" s="8" t="str">
        <f aca="false">IF(B404&lt;25,"Gen Z",IF(B404&lt;40,"Millennial",IF(B404&lt;55,"Gen X","Baby Boomer")))</f>
        <v>Baby Boomer</v>
      </c>
      <c r="M404" s="8" t="str">
        <f aca="false">IF(E404&lt;50000,"Low Income",IF(E404&lt;80000,"Middle Income",IF(E404&lt;100000,"Upper Middle","High Income")))</f>
        <v>High Income</v>
      </c>
      <c r="N404" s="8" t="str">
        <f aca="false">IF(F404&lt;=3,"Poor",IF(F404&lt;=6,"Average",IF(F404&lt;=8,"Good","Excellent")))</f>
        <v>Excellent</v>
      </c>
      <c r="O404" s="8" t="str">
        <f aca="false">IF(G404&lt;=3,"Poor",IF(G404&lt;=6,"Average",IF(G404&lt;=8,"Good","Excellent")))</f>
        <v>Excellent</v>
      </c>
      <c r="P404" s="8" t="str">
        <f aca="false">IF(H404&lt;=5,"Low Frequency",IF(H404&lt;=10,"Moderate",IF(H404&lt;=15,"High","Very High")))</f>
        <v>Moderate</v>
      </c>
      <c r="Q404" s="8" t="str">
        <f aca="false">IF(K404&gt;=90,"Highly Satisfied",IF(K404&gt;=75,"Satisfied",IF(K404&gt;=60,"Neutral","Dissatisfied")))</f>
        <v>Highly Satisfied</v>
      </c>
      <c r="R404" s="8" t="str">
        <f aca="false">UPPER(LEFT(TRIM(J404),1))&amp;LOWER(MID(TRIM(J404),2,100))</f>
        <v>Gold</v>
      </c>
      <c r="S404" s="8" t="str">
        <f aca="false">IF(I404="High","Positive",IF(I404="Medium","Neutral","Negative"))</f>
        <v>Neutral</v>
      </c>
      <c r="T404" s="8" t="str">
        <f aca="false">IF(AND(E404&gt;=80000,H404&gt;=15),"Premium",IF(AND(E404&gt;=50000,H404&gt;=10),"Standard","Basic"))</f>
        <v>Basic</v>
      </c>
      <c r="U404" s="8" t="str">
        <f aca="false">IF(AND(F404&gt;=7,G404&gt;=7),"High Quality Experience","Review Needed")</f>
        <v>High Quality Experience</v>
      </c>
      <c r="V404" s="8" t="str">
        <f aca="false">IF(H404&gt;=10,"Repeat Buyer","Occasional Buyer")</f>
        <v>Occasional Buyer</v>
      </c>
      <c r="W404" s="8" t="str">
        <f aca="false">IF(AND(K404&lt;70,I404="Low"),"At Risk","Stable")</f>
        <v>Stable</v>
      </c>
      <c r="X404" s="8" t="str">
        <f aca="false">IF(AND(K404&lt;75,I404="Low",J404="Bronze"),"Priority Followup","No Action")</f>
        <v>No Action</v>
      </c>
    </row>
    <row r="405" customFormat="false" ht="15" hidden="false" customHeight="false" outlineLevel="0" collapsed="false">
      <c r="A405" s="3" t="n">
        <v>403</v>
      </c>
      <c r="B405" s="3" t="n">
        <v>63</v>
      </c>
      <c r="C405" s="3" t="s">
        <v>17</v>
      </c>
      <c r="D405" s="3" t="s">
        <v>22</v>
      </c>
      <c r="E405" s="3" t="n">
        <v>90692</v>
      </c>
      <c r="F405" s="3" t="n">
        <v>6</v>
      </c>
      <c r="G405" s="3" t="n">
        <v>9</v>
      </c>
      <c r="H405" s="3" t="n">
        <v>16</v>
      </c>
      <c r="I405" s="3" t="s">
        <v>15</v>
      </c>
      <c r="J405" s="3" t="s">
        <v>14</v>
      </c>
      <c r="K405" s="3" t="n">
        <v>100</v>
      </c>
      <c r="L405" s="7" t="str">
        <f aca="false">IF(B405&lt;25,"Gen Z",IF(B405&lt;40,"Millennial",IF(B405&lt;55,"Gen X","Baby Boomer")))</f>
        <v>Baby Boomer</v>
      </c>
      <c r="M405" s="7" t="str">
        <f aca="false">IF(E405&lt;50000,"Low Income",IF(E405&lt;80000,"Middle Income",IF(E405&lt;100000,"Upper Middle","High Income")))</f>
        <v>Upper Middle</v>
      </c>
      <c r="N405" s="7" t="str">
        <f aca="false">IF(F405&lt;=3,"Poor",IF(F405&lt;=6,"Average",IF(F405&lt;=8,"Good","Excellent")))</f>
        <v>Average</v>
      </c>
      <c r="O405" s="7" t="str">
        <f aca="false">IF(G405&lt;=3,"Poor",IF(G405&lt;=6,"Average",IF(G405&lt;=8,"Good","Excellent")))</f>
        <v>Excellent</v>
      </c>
      <c r="P405" s="7" t="str">
        <f aca="false">IF(H405&lt;=5,"Low Frequency",IF(H405&lt;=10,"Moderate",IF(H405&lt;=15,"High","Very High")))</f>
        <v>Very High</v>
      </c>
      <c r="Q405" s="7" t="str">
        <f aca="false">IF(K405&gt;=90,"Highly Satisfied",IF(K405&gt;=75,"Satisfied",IF(K405&gt;=60,"Neutral","Dissatisfied")))</f>
        <v>Highly Satisfied</v>
      </c>
      <c r="R405" s="7" t="str">
        <f aca="false">UPPER(LEFT(TRIM(J405),1))&amp;LOWER(MID(TRIM(J405),2,100))</f>
        <v>Bronze</v>
      </c>
      <c r="S405" s="7" t="str">
        <f aca="false">IF(I405="High","Positive",IF(I405="Medium","Neutral","Negative"))</f>
        <v>Neutral</v>
      </c>
      <c r="T405" s="7" t="str">
        <f aca="false">IF(AND(E405&gt;=80000,H405&gt;=15),"Premium",IF(AND(E405&gt;=50000,H405&gt;=10),"Standard","Basic"))</f>
        <v>Premium</v>
      </c>
      <c r="U405" s="7" t="str">
        <f aca="false">IF(AND(F405&gt;=7,G405&gt;=7),"High Quality Experience","Review Needed")</f>
        <v>Review Needed</v>
      </c>
      <c r="V405" s="7" t="str">
        <f aca="false">IF(H405&gt;=10,"Repeat Buyer","Occasional Buyer")</f>
        <v>Repeat Buyer</v>
      </c>
      <c r="W405" s="7" t="str">
        <f aca="false">IF(AND(K405&lt;70,I405="Low"),"At Risk","Stable")</f>
        <v>Stable</v>
      </c>
      <c r="X405" s="7" t="str">
        <f aca="false">IF(AND(K405&lt;75,I405="Low",J405="Bronze"),"Priority Followup","No Action")</f>
        <v>No Action</v>
      </c>
    </row>
    <row r="406" customFormat="false" ht="15" hidden="false" customHeight="false" outlineLevel="0" collapsed="false">
      <c r="A406" s="2" t="n">
        <v>404</v>
      </c>
      <c r="B406" s="2" t="n">
        <v>41</v>
      </c>
      <c r="C406" s="2" t="s">
        <v>17</v>
      </c>
      <c r="D406" s="2" t="s">
        <v>20</v>
      </c>
      <c r="E406" s="2" t="n">
        <v>78808</v>
      </c>
      <c r="F406" s="2" t="n">
        <v>6</v>
      </c>
      <c r="G406" s="2" t="n">
        <v>6</v>
      </c>
      <c r="H406" s="2" t="n">
        <v>5</v>
      </c>
      <c r="I406" s="2" t="s">
        <v>15</v>
      </c>
      <c r="J406" s="2" t="s">
        <v>19</v>
      </c>
      <c r="K406" s="2" t="n">
        <v>96.44</v>
      </c>
      <c r="L406" s="8" t="str">
        <f aca="false">IF(B406&lt;25,"Gen Z",IF(B406&lt;40,"Millennial",IF(B406&lt;55,"Gen X","Baby Boomer")))</f>
        <v>Gen X</v>
      </c>
      <c r="M406" s="8" t="str">
        <f aca="false">IF(E406&lt;50000,"Low Income",IF(E406&lt;80000,"Middle Income",IF(E406&lt;100000,"Upper Middle","High Income")))</f>
        <v>Middle Income</v>
      </c>
      <c r="N406" s="8" t="str">
        <f aca="false">IF(F406&lt;=3,"Poor",IF(F406&lt;=6,"Average",IF(F406&lt;=8,"Good","Excellent")))</f>
        <v>Average</v>
      </c>
      <c r="O406" s="8" t="str">
        <f aca="false">IF(G406&lt;=3,"Poor",IF(G406&lt;=6,"Average",IF(G406&lt;=8,"Good","Excellent")))</f>
        <v>Average</v>
      </c>
      <c r="P406" s="8" t="str">
        <f aca="false">IF(H406&lt;=5,"Low Frequency",IF(H406&lt;=10,"Moderate",IF(H406&lt;=15,"High","Very High")))</f>
        <v>Low Frequency</v>
      </c>
      <c r="Q406" s="8" t="str">
        <f aca="false">IF(K406&gt;=90,"Highly Satisfied",IF(K406&gt;=75,"Satisfied",IF(K406&gt;=60,"Neutral","Dissatisfied")))</f>
        <v>Highly Satisfied</v>
      </c>
      <c r="R406" s="8" t="str">
        <f aca="false">UPPER(LEFT(TRIM(J406),1))&amp;LOWER(MID(TRIM(J406),2,100))</f>
        <v>Silver</v>
      </c>
      <c r="S406" s="8" t="str">
        <f aca="false">IF(I406="High","Positive",IF(I406="Medium","Neutral","Negative"))</f>
        <v>Neutral</v>
      </c>
      <c r="T406" s="8" t="str">
        <f aca="false">IF(AND(E406&gt;=80000,H406&gt;=15),"Premium",IF(AND(E406&gt;=50000,H406&gt;=10),"Standard","Basic"))</f>
        <v>Basic</v>
      </c>
      <c r="U406" s="8" t="str">
        <f aca="false">IF(AND(F406&gt;=7,G406&gt;=7),"High Quality Experience","Review Needed")</f>
        <v>Review Needed</v>
      </c>
      <c r="V406" s="8" t="str">
        <f aca="false">IF(H406&gt;=10,"Repeat Buyer","Occasional Buyer")</f>
        <v>Occasional Buyer</v>
      </c>
      <c r="W406" s="8" t="str">
        <f aca="false">IF(AND(K406&lt;70,I406="Low"),"At Risk","Stable")</f>
        <v>Stable</v>
      </c>
      <c r="X406" s="8" t="str">
        <f aca="false">IF(AND(K406&lt;75,I406="Low",J406="Bronze"),"Priority Followup","No Action")</f>
        <v>No Action</v>
      </c>
    </row>
    <row r="407" customFormat="false" ht="15" hidden="false" customHeight="false" outlineLevel="0" collapsed="false">
      <c r="A407" s="3" t="n">
        <v>405</v>
      </c>
      <c r="B407" s="3" t="n">
        <v>67</v>
      </c>
      <c r="C407" s="3" t="s">
        <v>11</v>
      </c>
      <c r="D407" s="3" t="s">
        <v>23</v>
      </c>
      <c r="E407" s="3" t="n">
        <v>67006</v>
      </c>
      <c r="F407" s="3" t="n">
        <v>9</v>
      </c>
      <c r="G407" s="3" t="n">
        <v>2</v>
      </c>
      <c r="H407" s="3" t="n">
        <v>6</v>
      </c>
      <c r="I407" s="3" t="s">
        <v>21</v>
      </c>
      <c r="J407" s="3" t="s">
        <v>16</v>
      </c>
      <c r="K407" s="3" t="n">
        <v>91.97</v>
      </c>
      <c r="L407" s="7" t="str">
        <f aca="false">IF(B407&lt;25,"Gen Z",IF(B407&lt;40,"Millennial",IF(B407&lt;55,"Gen X","Baby Boomer")))</f>
        <v>Baby Boomer</v>
      </c>
      <c r="M407" s="7" t="str">
        <f aca="false">IF(E407&lt;50000,"Low Income",IF(E407&lt;80000,"Middle Income",IF(E407&lt;100000,"Upper Middle","High Income")))</f>
        <v>Middle Income</v>
      </c>
      <c r="N407" s="7" t="str">
        <f aca="false">IF(F407&lt;=3,"Poor",IF(F407&lt;=6,"Average",IF(F407&lt;=8,"Good","Excellent")))</f>
        <v>Excellent</v>
      </c>
      <c r="O407" s="7" t="str">
        <f aca="false">IF(G407&lt;=3,"Poor",IF(G407&lt;=6,"Average",IF(G407&lt;=8,"Good","Excellent")))</f>
        <v>Poor</v>
      </c>
      <c r="P407" s="7" t="str">
        <f aca="false">IF(H407&lt;=5,"Low Frequency",IF(H407&lt;=10,"Moderate",IF(H407&lt;=15,"High","Very High")))</f>
        <v>Moderate</v>
      </c>
      <c r="Q407" s="7" t="str">
        <f aca="false">IF(K407&gt;=90,"Highly Satisfied",IF(K407&gt;=75,"Satisfied",IF(K407&gt;=60,"Neutral","Dissatisfied")))</f>
        <v>Highly Satisfied</v>
      </c>
      <c r="R407" s="7" t="str">
        <f aca="false">UPPER(LEFT(TRIM(J407),1))&amp;LOWER(MID(TRIM(J407),2,100))</f>
        <v>Gold</v>
      </c>
      <c r="S407" s="7" t="str">
        <f aca="false">IF(I407="High","Positive",IF(I407="Medium","Neutral","Negative"))</f>
        <v>Positive</v>
      </c>
      <c r="T407" s="7" t="str">
        <f aca="false">IF(AND(E407&gt;=80000,H407&gt;=15),"Premium",IF(AND(E407&gt;=50000,H407&gt;=10),"Standard","Basic"))</f>
        <v>Basic</v>
      </c>
      <c r="U407" s="7" t="str">
        <f aca="false">IF(AND(F407&gt;=7,G407&gt;=7),"High Quality Experience","Review Needed")</f>
        <v>Review Needed</v>
      </c>
      <c r="V407" s="7" t="str">
        <f aca="false">IF(H407&gt;=10,"Repeat Buyer","Occasional Buyer")</f>
        <v>Occasional Buyer</v>
      </c>
      <c r="W407" s="7" t="str">
        <f aca="false">IF(AND(K407&lt;70,I407="Low"),"At Risk","Stable")</f>
        <v>Stable</v>
      </c>
      <c r="X407" s="7" t="str">
        <f aca="false">IF(AND(K407&lt;75,I407="Low",J407="Bronze"),"Priority Followup","No Action")</f>
        <v>No Action</v>
      </c>
    </row>
    <row r="408" customFormat="false" ht="15" hidden="false" customHeight="false" outlineLevel="0" collapsed="false">
      <c r="A408" s="2" t="n">
        <v>406</v>
      </c>
      <c r="B408" s="2" t="n">
        <v>49</v>
      </c>
      <c r="C408" s="2" t="s">
        <v>11</v>
      </c>
      <c r="D408" s="2" t="s">
        <v>23</v>
      </c>
      <c r="E408" s="2" t="n">
        <v>46698</v>
      </c>
      <c r="F408" s="2" t="n">
        <v>8</v>
      </c>
      <c r="G408" s="2" t="n">
        <v>3</v>
      </c>
      <c r="H408" s="2" t="n">
        <v>8</v>
      </c>
      <c r="I408" s="2" t="s">
        <v>15</v>
      </c>
      <c r="J408" s="2" t="s">
        <v>19</v>
      </c>
      <c r="K408" s="2" t="n">
        <v>77.66</v>
      </c>
      <c r="L408" s="8" t="str">
        <f aca="false">IF(B408&lt;25,"Gen Z",IF(B408&lt;40,"Millennial",IF(B408&lt;55,"Gen X","Baby Boomer")))</f>
        <v>Gen X</v>
      </c>
      <c r="M408" s="8" t="str">
        <f aca="false">IF(E408&lt;50000,"Low Income",IF(E408&lt;80000,"Middle Income",IF(E408&lt;100000,"Upper Middle","High Income")))</f>
        <v>Low Income</v>
      </c>
      <c r="N408" s="8" t="str">
        <f aca="false">IF(F408&lt;=3,"Poor",IF(F408&lt;=6,"Average",IF(F408&lt;=8,"Good","Excellent")))</f>
        <v>Good</v>
      </c>
      <c r="O408" s="8" t="str">
        <f aca="false">IF(G408&lt;=3,"Poor",IF(G408&lt;=6,"Average",IF(G408&lt;=8,"Good","Excellent")))</f>
        <v>Poor</v>
      </c>
      <c r="P408" s="8" t="str">
        <f aca="false">IF(H408&lt;=5,"Low Frequency",IF(H408&lt;=10,"Moderate",IF(H408&lt;=15,"High","Very High")))</f>
        <v>Moderate</v>
      </c>
      <c r="Q408" s="8" t="str">
        <f aca="false">IF(K408&gt;=90,"Highly Satisfied",IF(K408&gt;=75,"Satisfied",IF(K408&gt;=60,"Neutral","Dissatisfied")))</f>
        <v>Satisfied</v>
      </c>
      <c r="R408" s="8" t="str">
        <f aca="false">UPPER(LEFT(TRIM(J408),1))&amp;LOWER(MID(TRIM(J408),2,100))</f>
        <v>Silver</v>
      </c>
      <c r="S408" s="8" t="str">
        <f aca="false">IF(I408="High","Positive",IF(I408="Medium","Neutral","Negative"))</f>
        <v>Neutral</v>
      </c>
      <c r="T408" s="8" t="str">
        <f aca="false">IF(AND(E408&gt;=80000,H408&gt;=15),"Premium",IF(AND(E408&gt;=50000,H408&gt;=10),"Standard","Basic"))</f>
        <v>Basic</v>
      </c>
      <c r="U408" s="8" t="str">
        <f aca="false">IF(AND(F408&gt;=7,G408&gt;=7),"High Quality Experience","Review Needed")</f>
        <v>Review Needed</v>
      </c>
      <c r="V408" s="8" t="str">
        <f aca="false">IF(H408&gt;=10,"Repeat Buyer","Occasional Buyer")</f>
        <v>Occasional Buyer</v>
      </c>
      <c r="W408" s="8" t="str">
        <f aca="false">IF(AND(K408&lt;70,I408="Low"),"At Risk","Stable")</f>
        <v>Stable</v>
      </c>
      <c r="X408" s="8" t="str">
        <f aca="false">IF(AND(K408&lt;75,I408="Low",J408="Bronze"),"Priority Followup","No Action")</f>
        <v>No Action</v>
      </c>
    </row>
    <row r="409" customFormat="false" ht="15" hidden="false" customHeight="false" outlineLevel="0" collapsed="false">
      <c r="A409" s="3" t="n">
        <v>407</v>
      </c>
      <c r="B409" s="3" t="n">
        <v>64</v>
      </c>
      <c r="C409" s="3" t="s">
        <v>11</v>
      </c>
      <c r="D409" s="3" t="s">
        <v>20</v>
      </c>
      <c r="E409" s="3" t="n">
        <v>90302</v>
      </c>
      <c r="F409" s="3" t="n">
        <v>8</v>
      </c>
      <c r="G409" s="3" t="n">
        <v>10</v>
      </c>
      <c r="H409" s="3" t="n">
        <v>14</v>
      </c>
      <c r="I409" s="3" t="s">
        <v>21</v>
      </c>
      <c r="J409" s="3" t="s">
        <v>14</v>
      </c>
      <c r="K409" s="3" t="n">
        <v>100</v>
      </c>
      <c r="L409" s="7" t="str">
        <f aca="false">IF(B409&lt;25,"Gen Z",IF(B409&lt;40,"Millennial",IF(B409&lt;55,"Gen X","Baby Boomer")))</f>
        <v>Baby Boomer</v>
      </c>
      <c r="M409" s="7" t="str">
        <f aca="false">IF(E409&lt;50000,"Low Income",IF(E409&lt;80000,"Middle Income",IF(E409&lt;100000,"Upper Middle","High Income")))</f>
        <v>Upper Middle</v>
      </c>
      <c r="N409" s="7" t="str">
        <f aca="false">IF(F409&lt;=3,"Poor",IF(F409&lt;=6,"Average",IF(F409&lt;=8,"Good","Excellent")))</f>
        <v>Good</v>
      </c>
      <c r="O409" s="7" t="str">
        <f aca="false">IF(G409&lt;=3,"Poor",IF(G409&lt;=6,"Average",IF(G409&lt;=8,"Good","Excellent")))</f>
        <v>Excellent</v>
      </c>
      <c r="P409" s="7" t="str">
        <f aca="false">IF(H409&lt;=5,"Low Frequency",IF(H409&lt;=10,"Moderate",IF(H409&lt;=15,"High","Very High")))</f>
        <v>High</v>
      </c>
      <c r="Q409" s="7" t="str">
        <f aca="false">IF(K409&gt;=90,"Highly Satisfied",IF(K409&gt;=75,"Satisfied",IF(K409&gt;=60,"Neutral","Dissatisfied")))</f>
        <v>Highly Satisfied</v>
      </c>
      <c r="R409" s="7" t="str">
        <f aca="false">UPPER(LEFT(TRIM(J409),1))&amp;LOWER(MID(TRIM(J409),2,100))</f>
        <v>Bronze</v>
      </c>
      <c r="S409" s="7" t="str">
        <f aca="false">IF(I409="High","Positive",IF(I409="Medium","Neutral","Negative"))</f>
        <v>Positive</v>
      </c>
      <c r="T409" s="7" t="str">
        <f aca="false">IF(AND(E409&gt;=80000,H409&gt;=15),"Premium",IF(AND(E409&gt;=50000,H409&gt;=10),"Standard","Basic"))</f>
        <v>Standard</v>
      </c>
      <c r="U409" s="7" t="str">
        <f aca="false">IF(AND(F409&gt;=7,G409&gt;=7),"High Quality Experience","Review Needed")</f>
        <v>High Quality Experience</v>
      </c>
      <c r="V409" s="7" t="str">
        <f aca="false">IF(H409&gt;=10,"Repeat Buyer","Occasional Buyer")</f>
        <v>Repeat Buyer</v>
      </c>
      <c r="W409" s="7" t="str">
        <f aca="false">IF(AND(K409&lt;70,I409="Low"),"At Risk","Stable")</f>
        <v>Stable</v>
      </c>
      <c r="X409" s="7" t="str">
        <f aca="false">IF(AND(K409&lt;75,I409="Low",J409="Bronze"),"Priority Followup","No Action")</f>
        <v>No Action</v>
      </c>
    </row>
    <row r="410" customFormat="false" ht="15" hidden="false" customHeight="false" outlineLevel="0" collapsed="false">
      <c r="A410" s="2" t="n">
        <v>408</v>
      </c>
      <c r="B410" s="2" t="n">
        <v>39</v>
      </c>
      <c r="C410" s="2" t="s">
        <v>17</v>
      </c>
      <c r="D410" s="2" t="s">
        <v>12</v>
      </c>
      <c r="E410" s="2" t="n">
        <v>44364</v>
      </c>
      <c r="F410" s="2" t="n">
        <v>6</v>
      </c>
      <c r="G410" s="2" t="n">
        <v>8</v>
      </c>
      <c r="H410" s="2" t="n">
        <v>9</v>
      </c>
      <c r="I410" s="2" t="s">
        <v>21</v>
      </c>
      <c r="J410" s="2" t="s">
        <v>16</v>
      </c>
      <c r="K410" s="2" t="n">
        <v>94.35</v>
      </c>
      <c r="L410" s="8" t="str">
        <f aca="false">IF(B410&lt;25,"Gen Z",IF(B410&lt;40,"Millennial",IF(B410&lt;55,"Gen X","Baby Boomer")))</f>
        <v>Millennial</v>
      </c>
      <c r="M410" s="8" t="str">
        <f aca="false">IF(E410&lt;50000,"Low Income",IF(E410&lt;80000,"Middle Income",IF(E410&lt;100000,"Upper Middle","High Income")))</f>
        <v>Low Income</v>
      </c>
      <c r="N410" s="8" t="str">
        <f aca="false">IF(F410&lt;=3,"Poor",IF(F410&lt;=6,"Average",IF(F410&lt;=8,"Good","Excellent")))</f>
        <v>Average</v>
      </c>
      <c r="O410" s="8" t="str">
        <f aca="false">IF(G410&lt;=3,"Poor",IF(G410&lt;=6,"Average",IF(G410&lt;=8,"Good","Excellent")))</f>
        <v>Good</v>
      </c>
      <c r="P410" s="8" t="str">
        <f aca="false">IF(H410&lt;=5,"Low Frequency",IF(H410&lt;=10,"Moderate",IF(H410&lt;=15,"High","Very High")))</f>
        <v>Moderate</v>
      </c>
      <c r="Q410" s="8" t="str">
        <f aca="false">IF(K410&gt;=90,"Highly Satisfied",IF(K410&gt;=75,"Satisfied",IF(K410&gt;=60,"Neutral","Dissatisfied")))</f>
        <v>Highly Satisfied</v>
      </c>
      <c r="R410" s="8" t="str">
        <f aca="false">UPPER(LEFT(TRIM(J410),1))&amp;LOWER(MID(TRIM(J410),2,100))</f>
        <v>Gold</v>
      </c>
      <c r="S410" s="8" t="str">
        <f aca="false">IF(I410="High","Positive",IF(I410="Medium","Neutral","Negative"))</f>
        <v>Positive</v>
      </c>
      <c r="T410" s="8" t="str">
        <f aca="false">IF(AND(E410&gt;=80000,H410&gt;=15),"Premium",IF(AND(E410&gt;=50000,H410&gt;=10),"Standard","Basic"))</f>
        <v>Basic</v>
      </c>
      <c r="U410" s="8" t="str">
        <f aca="false">IF(AND(F410&gt;=7,G410&gt;=7),"High Quality Experience","Review Needed")</f>
        <v>Review Needed</v>
      </c>
      <c r="V410" s="8" t="str">
        <f aca="false">IF(H410&gt;=10,"Repeat Buyer","Occasional Buyer")</f>
        <v>Occasional Buyer</v>
      </c>
      <c r="W410" s="8" t="str">
        <f aca="false">IF(AND(K410&lt;70,I410="Low"),"At Risk","Stable")</f>
        <v>Stable</v>
      </c>
      <c r="X410" s="8" t="str">
        <f aca="false">IF(AND(K410&lt;75,I410="Low",J410="Bronze"),"Priority Followup","No Action")</f>
        <v>No Action</v>
      </c>
    </row>
    <row r="411" customFormat="false" ht="15" hidden="false" customHeight="false" outlineLevel="0" collapsed="false">
      <c r="A411" s="3" t="n">
        <v>409</v>
      </c>
      <c r="B411" s="3" t="n">
        <v>40</v>
      </c>
      <c r="C411" s="3" t="s">
        <v>11</v>
      </c>
      <c r="D411" s="3" t="s">
        <v>12</v>
      </c>
      <c r="E411" s="3" t="n">
        <v>95034</v>
      </c>
      <c r="F411" s="3" t="n">
        <v>3</v>
      </c>
      <c r="G411" s="3" t="n">
        <v>9</v>
      </c>
      <c r="H411" s="3" t="n">
        <v>3</v>
      </c>
      <c r="I411" s="3" t="s">
        <v>13</v>
      </c>
      <c r="J411" s="3" t="s">
        <v>16</v>
      </c>
      <c r="K411" s="3" t="n">
        <v>100</v>
      </c>
      <c r="L411" s="7" t="str">
        <f aca="false">IF(B411&lt;25,"Gen Z",IF(B411&lt;40,"Millennial",IF(B411&lt;55,"Gen X","Baby Boomer")))</f>
        <v>Gen X</v>
      </c>
      <c r="M411" s="7" t="str">
        <f aca="false">IF(E411&lt;50000,"Low Income",IF(E411&lt;80000,"Middle Income",IF(E411&lt;100000,"Upper Middle","High Income")))</f>
        <v>Upper Middle</v>
      </c>
      <c r="N411" s="7" t="str">
        <f aca="false">IF(F411&lt;=3,"Poor",IF(F411&lt;=6,"Average",IF(F411&lt;=8,"Good","Excellent")))</f>
        <v>Poor</v>
      </c>
      <c r="O411" s="7" t="str">
        <f aca="false">IF(G411&lt;=3,"Poor",IF(G411&lt;=6,"Average",IF(G411&lt;=8,"Good","Excellent")))</f>
        <v>Excellent</v>
      </c>
      <c r="P411" s="7" t="str">
        <f aca="false">IF(H411&lt;=5,"Low Frequency",IF(H411&lt;=10,"Moderate",IF(H411&lt;=15,"High","Very High")))</f>
        <v>Low Frequency</v>
      </c>
      <c r="Q411" s="7" t="str">
        <f aca="false">IF(K411&gt;=90,"Highly Satisfied",IF(K411&gt;=75,"Satisfied",IF(K411&gt;=60,"Neutral","Dissatisfied")))</f>
        <v>Highly Satisfied</v>
      </c>
      <c r="R411" s="7" t="str">
        <f aca="false">UPPER(LEFT(TRIM(J411),1))&amp;LOWER(MID(TRIM(J411),2,100))</f>
        <v>Gold</v>
      </c>
      <c r="S411" s="7" t="str">
        <f aca="false">IF(I411="High","Positive",IF(I411="Medium","Neutral","Negative"))</f>
        <v>Negative</v>
      </c>
      <c r="T411" s="7" t="str">
        <f aca="false">IF(AND(E411&gt;=80000,H411&gt;=15),"Premium",IF(AND(E411&gt;=50000,H411&gt;=10),"Standard","Basic"))</f>
        <v>Basic</v>
      </c>
      <c r="U411" s="7" t="str">
        <f aca="false">IF(AND(F411&gt;=7,G411&gt;=7),"High Quality Experience","Review Needed")</f>
        <v>Review Needed</v>
      </c>
      <c r="V411" s="7" t="str">
        <f aca="false">IF(H411&gt;=10,"Repeat Buyer","Occasional Buyer")</f>
        <v>Occasional Buyer</v>
      </c>
      <c r="W411" s="7" t="str">
        <f aca="false">IF(AND(K411&lt;70,I411="Low"),"At Risk","Stable")</f>
        <v>Stable</v>
      </c>
      <c r="X411" s="7" t="str">
        <f aca="false">IF(AND(K411&lt;75,I411="Low",J411="Bronze"),"Priority Followup","No Action")</f>
        <v>No Action</v>
      </c>
    </row>
    <row r="412" customFormat="false" ht="15" hidden="false" customHeight="false" outlineLevel="0" collapsed="false">
      <c r="A412" s="2" t="n">
        <v>410</v>
      </c>
      <c r="B412" s="2" t="n">
        <v>19</v>
      </c>
      <c r="C412" s="2" t="s">
        <v>17</v>
      </c>
      <c r="D412" s="2" t="s">
        <v>18</v>
      </c>
      <c r="E412" s="2" t="n">
        <v>53513</v>
      </c>
      <c r="F412" s="2" t="n">
        <v>2</v>
      </c>
      <c r="G412" s="2" t="n">
        <v>9</v>
      </c>
      <c r="H412" s="2" t="n">
        <v>5</v>
      </c>
      <c r="I412" s="2" t="s">
        <v>21</v>
      </c>
      <c r="J412" s="2" t="s">
        <v>14</v>
      </c>
      <c r="K412" s="2" t="n">
        <v>81.18</v>
      </c>
      <c r="L412" s="8" t="str">
        <f aca="false">IF(B412&lt;25,"Gen Z",IF(B412&lt;40,"Millennial",IF(B412&lt;55,"Gen X","Baby Boomer")))</f>
        <v>Gen Z</v>
      </c>
      <c r="M412" s="8" t="str">
        <f aca="false">IF(E412&lt;50000,"Low Income",IF(E412&lt;80000,"Middle Income",IF(E412&lt;100000,"Upper Middle","High Income")))</f>
        <v>Middle Income</v>
      </c>
      <c r="N412" s="8" t="str">
        <f aca="false">IF(F412&lt;=3,"Poor",IF(F412&lt;=6,"Average",IF(F412&lt;=8,"Good","Excellent")))</f>
        <v>Poor</v>
      </c>
      <c r="O412" s="8" t="str">
        <f aca="false">IF(G412&lt;=3,"Poor",IF(G412&lt;=6,"Average",IF(G412&lt;=8,"Good","Excellent")))</f>
        <v>Excellent</v>
      </c>
      <c r="P412" s="8" t="str">
        <f aca="false">IF(H412&lt;=5,"Low Frequency",IF(H412&lt;=10,"Moderate",IF(H412&lt;=15,"High","Very High")))</f>
        <v>Low Frequency</v>
      </c>
      <c r="Q412" s="8" t="str">
        <f aca="false">IF(K412&gt;=90,"Highly Satisfied",IF(K412&gt;=75,"Satisfied",IF(K412&gt;=60,"Neutral","Dissatisfied")))</f>
        <v>Satisfied</v>
      </c>
      <c r="R412" s="8" t="str">
        <f aca="false">UPPER(LEFT(TRIM(J412),1))&amp;LOWER(MID(TRIM(J412),2,100))</f>
        <v>Bronze</v>
      </c>
      <c r="S412" s="8" t="str">
        <f aca="false">IF(I412="High","Positive",IF(I412="Medium","Neutral","Negative"))</f>
        <v>Positive</v>
      </c>
      <c r="T412" s="8" t="str">
        <f aca="false">IF(AND(E412&gt;=80000,H412&gt;=15),"Premium",IF(AND(E412&gt;=50000,H412&gt;=10),"Standard","Basic"))</f>
        <v>Basic</v>
      </c>
      <c r="U412" s="8" t="str">
        <f aca="false">IF(AND(F412&gt;=7,G412&gt;=7),"High Quality Experience","Review Needed")</f>
        <v>Review Needed</v>
      </c>
      <c r="V412" s="8" t="str">
        <f aca="false">IF(H412&gt;=10,"Repeat Buyer","Occasional Buyer")</f>
        <v>Occasional Buyer</v>
      </c>
      <c r="W412" s="8" t="str">
        <f aca="false">IF(AND(K412&lt;70,I412="Low"),"At Risk","Stable")</f>
        <v>Stable</v>
      </c>
      <c r="X412" s="8" t="str">
        <f aca="false">IF(AND(K412&lt;75,I412="Low",J412="Bronze"),"Priority Followup","No Action")</f>
        <v>No Action</v>
      </c>
    </row>
    <row r="413" customFormat="false" ht="15" hidden="false" customHeight="false" outlineLevel="0" collapsed="false">
      <c r="A413" s="3" t="n">
        <v>411</v>
      </c>
      <c r="B413" s="3" t="n">
        <v>44</v>
      </c>
      <c r="C413" s="3" t="s">
        <v>17</v>
      </c>
      <c r="D413" s="3" t="s">
        <v>12</v>
      </c>
      <c r="E413" s="3" t="n">
        <v>45057</v>
      </c>
      <c r="F413" s="3" t="n">
        <v>10</v>
      </c>
      <c r="G413" s="3" t="n">
        <v>1</v>
      </c>
      <c r="H413" s="3" t="n">
        <v>18</v>
      </c>
      <c r="I413" s="3" t="s">
        <v>21</v>
      </c>
      <c r="J413" s="3" t="s">
        <v>14</v>
      </c>
      <c r="K413" s="3" t="n">
        <v>83.5</v>
      </c>
      <c r="L413" s="7" t="str">
        <f aca="false">IF(B413&lt;25,"Gen Z",IF(B413&lt;40,"Millennial",IF(B413&lt;55,"Gen X","Baby Boomer")))</f>
        <v>Gen X</v>
      </c>
      <c r="M413" s="7" t="str">
        <f aca="false">IF(E413&lt;50000,"Low Income",IF(E413&lt;80000,"Middle Income",IF(E413&lt;100000,"Upper Middle","High Income")))</f>
        <v>Low Income</v>
      </c>
      <c r="N413" s="7" t="str">
        <f aca="false">IF(F413&lt;=3,"Poor",IF(F413&lt;=6,"Average",IF(F413&lt;=8,"Good","Excellent")))</f>
        <v>Excellent</v>
      </c>
      <c r="O413" s="7" t="str">
        <f aca="false">IF(G413&lt;=3,"Poor",IF(G413&lt;=6,"Average",IF(G413&lt;=8,"Good","Excellent")))</f>
        <v>Poor</v>
      </c>
      <c r="P413" s="7" t="str">
        <f aca="false">IF(H413&lt;=5,"Low Frequency",IF(H413&lt;=10,"Moderate",IF(H413&lt;=15,"High","Very High")))</f>
        <v>Very High</v>
      </c>
      <c r="Q413" s="7" t="str">
        <f aca="false">IF(K413&gt;=90,"Highly Satisfied",IF(K413&gt;=75,"Satisfied",IF(K413&gt;=60,"Neutral","Dissatisfied")))</f>
        <v>Satisfied</v>
      </c>
      <c r="R413" s="7" t="str">
        <f aca="false">UPPER(LEFT(TRIM(J413),1))&amp;LOWER(MID(TRIM(J413),2,100))</f>
        <v>Bronze</v>
      </c>
      <c r="S413" s="7" t="str">
        <f aca="false">IF(I413="High","Positive",IF(I413="Medium","Neutral","Negative"))</f>
        <v>Positive</v>
      </c>
      <c r="T413" s="7" t="str">
        <f aca="false">IF(AND(E413&gt;=80000,H413&gt;=15),"Premium",IF(AND(E413&gt;=50000,H413&gt;=10),"Standard","Basic"))</f>
        <v>Basic</v>
      </c>
      <c r="U413" s="7" t="str">
        <f aca="false">IF(AND(F413&gt;=7,G413&gt;=7),"High Quality Experience","Review Needed")</f>
        <v>Review Needed</v>
      </c>
      <c r="V413" s="7" t="str">
        <f aca="false">IF(H413&gt;=10,"Repeat Buyer","Occasional Buyer")</f>
        <v>Repeat Buyer</v>
      </c>
      <c r="W413" s="7" t="str">
        <f aca="false">IF(AND(K413&lt;70,I413="Low"),"At Risk","Stable")</f>
        <v>Stable</v>
      </c>
      <c r="X413" s="7" t="str">
        <f aca="false">IF(AND(K413&lt;75,I413="Low",J413="Bronze"),"Priority Followup","No Action")</f>
        <v>No Action</v>
      </c>
    </row>
    <row r="414" customFormat="false" ht="15" hidden="false" customHeight="false" outlineLevel="0" collapsed="false">
      <c r="A414" s="2" t="n">
        <v>412</v>
      </c>
      <c r="B414" s="2" t="n">
        <v>59</v>
      </c>
      <c r="C414" s="2" t="s">
        <v>11</v>
      </c>
      <c r="D414" s="2" t="s">
        <v>18</v>
      </c>
      <c r="E414" s="2" t="n">
        <v>93959</v>
      </c>
      <c r="F414" s="2" t="n">
        <v>4</v>
      </c>
      <c r="G414" s="2" t="n">
        <v>9</v>
      </c>
      <c r="H414" s="2" t="n">
        <v>4</v>
      </c>
      <c r="I414" s="2" t="s">
        <v>15</v>
      </c>
      <c r="J414" s="2" t="s">
        <v>14</v>
      </c>
      <c r="K414" s="2" t="n">
        <v>96.83</v>
      </c>
      <c r="L414" s="8" t="str">
        <f aca="false">IF(B414&lt;25,"Gen Z",IF(B414&lt;40,"Millennial",IF(B414&lt;55,"Gen X","Baby Boomer")))</f>
        <v>Baby Boomer</v>
      </c>
      <c r="M414" s="8" t="str">
        <f aca="false">IF(E414&lt;50000,"Low Income",IF(E414&lt;80000,"Middle Income",IF(E414&lt;100000,"Upper Middle","High Income")))</f>
        <v>Upper Middle</v>
      </c>
      <c r="N414" s="8" t="str">
        <f aca="false">IF(F414&lt;=3,"Poor",IF(F414&lt;=6,"Average",IF(F414&lt;=8,"Good","Excellent")))</f>
        <v>Average</v>
      </c>
      <c r="O414" s="8" t="str">
        <f aca="false">IF(G414&lt;=3,"Poor",IF(G414&lt;=6,"Average",IF(G414&lt;=8,"Good","Excellent")))</f>
        <v>Excellent</v>
      </c>
      <c r="P414" s="8" t="str">
        <f aca="false">IF(H414&lt;=5,"Low Frequency",IF(H414&lt;=10,"Moderate",IF(H414&lt;=15,"High","Very High")))</f>
        <v>Low Frequency</v>
      </c>
      <c r="Q414" s="8" t="str">
        <f aca="false">IF(K414&gt;=90,"Highly Satisfied",IF(K414&gt;=75,"Satisfied",IF(K414&gt;=60,"Neutral","Dissatisfied")))</f>
        <v>Highly Satisfied</v>
      </c>
      <c r="R414" s="8" t="str">
        <f aca="false">UPPER(LEFT(TRIM(J414),1))&amp;LOWER(MID(TRIM(J414),2,100))</f>
        <v>Bronze</v>
      </c>
      <c r="S414" s="8" t="str">
        <f aca="false">IF(I414="High","Positive",IF(I414="Medium","Neutral","Negative"))</f>
        <v>Neutral</v>
      </c>
      <c r="T414" s="8" t="str">
        <f aca="false">IF(AND(E414&gt;=80000,H414&gt;=15),"Premium",IF(AND(E414&gt;=50000,H414&gt;=10),"Standard","Basic"))</f>
        <v>Basic</v>
      </c>
      <c r="U414" s="8" t="str">
        <f aca="false">IF(AND(F414&gt;=7,G414&gt;=7),"High Quality Experience","Review Needed")</f>
        <v>Review Needed</v>
      </c>
      <c r="V414" s="8" t="str">
        <f aca="false">IF(H414&gt;=10,"Repeat Buyer","Occasional Buyer")</f>
        <v>Occasional Buyer</v>
      </c>
      <c r="W414" s="8" t="str">
        <f aca="false">IF(AND(K414&lt;70,I414="Low"),"At Risk","Stable")</f>
        <v>Stable</v>
      </c>
      <c r="X414" s="8" t="str">
        <f aca="false">IF(AND(K414&lt;75,I414="Low",J414="Bronze"),"Priority Followup","No Action")</f>
        <v>No Action</v>
      </c>
    </row>
    <row r="415" customFormat="false" ht="15" hidden="false" customHeight="false" outlineLevel="0" collapsed="false">
      <c r="A415" s="3" t="n">
        <v>413</v>
      </c>
      <c r="B415" s="3" t="n">
        <v>19</v>
      </c>
      <c r="C415" s="3" t="s">
        <v>17</v>
      </c>
      <c r="D415" s="3" t="s">
        <v>22</v>
      </c>
      <c r="E415" s="3" t="n">
        <v>106401</v>
      </c>
      <c r="F415" s="3" t="n">
        <v>5</v>
      </c>
      <c r="G415" s="3" t="n">
        <v>9</v>
      </c>
      <c r="H415" s="3" t="n">
        <v>20</v>
      </c>
      <c r="I415" s="3" t="s">
        <v>13</v>
      </c>
      <c r="J415" s="3" t="s">
        <v>16</v>
      </c>
      <c r="K415" s="3" t="n">
        <v>100</v>
      </c>
      <c r="L415" s="7" t="str">
        <f aca="false">IF(B415&lt;25,"Gen Z",IF(B415&lt;40,"Millennial",IF(B415&lt;55,"Gen X","Baby Boomer")))</f>
        <v>Gen Z</v>
      </c>
      <c r="M415" s="7" t="str">
        <f aca="false">IF(E415&lt;50000,"Low Income",IF(E415&lt;80000,"Middle Income",IF(E415&lt;100000,"Upper Middle","High Income")))</f>
        <v>High Income</v>
      </c>
      <c r="N415" s="7" t="str">
        <f aca="false">IF(F415&lt;=3,"Poor",IF(F415&lt;=6,"Average",IF(F415&lt;=8,"Good","Excellent")))</f>
        <v>Average</v>
      </c>
      <c r="O415" s="7" t="str">
        <f aca="false">IF(G415&lt;=3,"Poor",IF(G415&lt;=6,"Average",IF(G415&lt;=8,"Good","Excellent")))</f>
        <v>Excellent</v>
      </c>
      <c r="P415" s="7" t="str">
        <f aca="false">IF(H415&lt;=5,"Low Frequency",IF(H415&lt;=10,"Moderate",IF(H415&lt;=15,"High","Very High")))</f>
        <v>Very High</v>
      </c>
      <c r="Q415" s="7" t="str">
        <f aca="false">IF(K415&gt;=90,"Highly Satisfied",IF(K415&gt;=75,"Satisfied",IF(K415&gt;=60,"Neutral","Dissatisfied")))</f>
        <v>Highly Satisfied</v>
      </c>
      <c r="R415" s="7" t="str">
        <f aca="false">UPPER(LEFT(TRIM(J415),1))&amp;LOWER(MID(TRIM(J415),2,100))</f>
        <v>Gold</v>
      </c>
      <c r="S415" s="7" t="str">
        <f aca="false">IF(I415="High","Positive",IF(I415="Medium","Neutral","Negative"))</f>
        <v>Negative</v>
      </c>
      <c r="T415" s="7" t="str">
        <f aca="false">IF(AND(E415&gt;=80000,H415&gt;=15),"Premium",IF(AND(E415&gt;=50000,H415&gt;=10),"Standard","Basic"))</f>
        <v>Premium</v>
      </c>
      <c r="U415" s="7" t="str">
        <f aca="false">IF(AND(F415&gt;=7,G415&gt;=7),"High Quality Experience","Review Needed")</f>
        <v>Review Needed</v>
      </c>
      <c r="V415" s="7" t="str">
        <f aca="false">IF(H415&gt;=10,"Repeat Buyer","Occasional Buyer")</f>
        <v>Repeat Buyer</v>
      </c>
      <c r="W415" s="7" t="str">
        <f aca="false">IF(AND(K415&lt;70,I415="Low"),"At Risk","Stable")</f>
        <v>Stable</v>
      </c>
      <c r="X415" s="7" t="str">
        <f aca="false">IF(AND(K415&lt;75,I415="Low",J415="Bronze"),"Priority Followup","No Action")</f>
        <v>No Action</v>
      </c>
    </row>
    <row r="416" customFormat="false" ht="15" hidden="false" customHeight="false" outlineLevel="0" collapsed="false">
      <c r="A416" s="2" t="n">
        <v>414</v>
      </c>
      <c r="B416" s="2" t="n">
        <v>43</v>
      </c>
      <c r="C416" s="2" t="s">
        <v>11</v>
      </c>
      <c r="D416" s="2" t="s">
        <v>18</v>
      </c>
      <c r="E416" s="2" t="n">
        <v>102247</v>
      </c>
      <c r="F416" s="2" t="n">
        <v>2</v>
      </c>
      <c r="G416" s="2" t="n">
        <v>2</v>
      </c>
      <c r="H416" s="2" t="n">
        <v>17</v>
      </c>
      <c r="I416" s="2" t="s">
        <v>13</v>
      </c>
      <c r="J416" s="2" t="s">
        <v>16</v>
      </c>
      <c r="K416" s="2" t="n">
        <v>81.58</v>
      </c>
      <c r="L416" s="8" t="str">
        <f aca="false">IF(B416&lt;25,"Gen Z",IF(B416&lt;40,"Millennial",IF(B416&lt;55,"Gen X","Baby Boomer")))</f>
        <v>Gen X</v>
      </c>
      <c r="M416" s="8" t="str">
        <f aca="false">IF(E416&lt;50000,"Low Income",IF(E416&lt;80000,"Middle Income",IF(E416&lt;100000,"Upper Middle","High Income")))</f>
        <v>High Income</v>
      </c>
      <c r="N416" s="8" t="str">
        <f aca="false">IF(F416&lt;=3,"Poor",IF(F416&lt;=6,"Average",IF(F416&lt;=8,"Good","Excellent")))</f>
        <v>Poor</v>
      </c>
      <c r="O416" s="8" t="str">
        <f aca="false">IF(G416&lt;=3,"Poor",IF(G416&lt;=6,"Average",IF(G416&lt;=8,"Good","Excellent")))</f>
        <v>Poor</v>
      </c>
      <c r="P416" s="8" t="str">
        <f aca="false">IF(H416&lt;=5,"Low Frequency",IF(H416&lt;=10,"Moderate",IF(H416&lt;=15,"High","Very High")))</f>
        <v>Very High</v>
      </c>
      <c r="Q416" s="8" t="str">
        <f aca="false">IF(K416&gt;=90,"Highly Satisfied",IF(K416&gt;=75,"Satisfied",IF(K416&gt;=60,"Neutral","Dissatisfied")))</f>
        <v>Satisfied</v>
      </c>
      <c r="R416" s="8" t="str">
        <f aca="false">UPPER(LEFT(TRIM(J416),1))&amp;LOWER(MID(TRIM(J416),2,100))</f>
        <v>Gold</v>
      </c>
      <c r="S416" s="8" t="str">
        <f aca="false">IF(I416="High","Positive",IF(I416="Medium","Neutral","Negative"))</f>
        <v>Negative</v>
      </c>
      <c r="T416" s="8" t="str">
        <f aca="false">IF(AND(E416&gt;=80000,H416&gt;=15),"Premium",IF(AND(E416&gt;=50000,H416&gt;=10),"Standard","Basic"))</f>
        <v>Premium</v>
      </c>
      <c r="U416" s="8" t="str">
        <f aca="false">IF(AND(F416&gt;=7,G416&gt;=7),"High Quality Experience","Review Needed")</f>
        <v>Review Needed</v>
      </c>
      <c r="V416" s="8" t="str">
        <f aca="false">IF(H416&gt;=10,"Repeat Buyer","Occasional Buyer")</f>
        <v>Repeat Buyer</v>
      </c>
      <c r="W416" s="8" t="str">
        <f aca="false">IF(AND(K416&lt;70,I416="Low"),"At Risk","Stable")</f>
        <v>Stable</v>
      </c>
      <c r="X416" s="8" t="str">
        <f aca="false">IF(AND(K416&lt;75,I416="Low",J416="Bronze"),"Priority Followup","No Action")</f>
        <v>No Action</v>
      </c>
    </row>
    <row r="417" customFormat="false" ht="15" hidden="false" customHeight="false" outlineLevel="0" collapsed="false">
      <c r="A417" s="3" t="n">
        <v>415</v>
      </c>
      <c r="B417" s="3" t="n">
        <v>34</v>
      </c>
      <c r="C417" s="3" t="s">
        <v>17</v>
      </c>
      <c r="D417" s="3" t="s">
        <v>12</v>
      </c>
      <c r="E417" s="3" t="n">
        <v>52708</v>
      </c>
      <c r="F417" s="3" t="n">
        <v>9</v>
      </c>
      <c r="G417" s="3" t="n">
        <v>1</v>
      </c>
      <c r="H417" s="3" t="n">
        <v>20</v>
      </c>
      <c r="I417" s="3" t="s">
        <v>13</v>
      </c>
      <c r="J417" s="3" t="s">
        <v>19</v>
      </c>
      <c r="K417" s="3" t="n">
        <v>76.71</v>
      </c>
      <c r="L417" s="7" t="str">
        <f aca="false">IF(B417&lt;25,"Gen Z",IF(B417&lt;40,"Millennial",IF(B417&lt;55,"Gen X","Baby Boomer")))</f>
        <v>Millennial</v>
      </c>
      <c r="M417" s="7" t="str">
        <f aca="false">IF(E417&lt;50000,"Low Income",IF(E417&lt;80000,"Middle Income",IF(E417&lt;100000,"Upper Middle","High Income")))</f>
        <v>Middle Income</v>
      </c>
      <c r="N417" s="7" t="str">
        <f aca="false">IF(F417&lt;=3,"Poor",IF(F417&lt;=6,"Average",IF(F417&lt;=8,"Good","Excellent")))</f>
        <v>Excellent</v>
      </c>
      <c r="O417" s="7" t="str">
        <f aca="false">IF(G417&lt;=3,"Poor",IF(G417&lt;=6,"Average",IF(G417&lt;=8,"Good","Excellent")))</f>
        <v>Poor</v>
      </c>
      <c r="P417" s="7" t="str">
        <f aca="false">IF(H417&lt;=5,"Low Frequency",IF(H417&lt;=10,"Moderate",IF(H417&lt;=15,"High","Very High")))</f>
        <v>Very High</v>
      </c>
      <c r="Q417" s="7" t="str">
        <f aca="false">IF(K417&gt;=90,"Highly Satisfied",IF(K417&gt;=75,"Satisfied",IF(K417&gt;=60,"Neutral","Dissatisfied")))</f>
        <v>Satisfied</v>
      </c>
      <c r="R417" s="7" t="str">
        <f aca="false">UPPER(LEFT(TRIM(J417),1))&amp;LOWER(MID(TRIM(J417),2,100))</f>
        <v>Silver</v>
      </c>
      <c r="S417" s="7" t="str">
        <f aca="false">IF(I417="High","Positive",IF(I417="Medium","Neutral","Negative"))</f>
        <v>Negative</v>
      </c>
      <c r="T417" s="7" t="str">
        <f aca="false">IF(AND(E417&gt;=80000,H417&gt;=15),"Premium",IF(AND(E417&gt;=50000,H417&gt;=10),"Standard","Basic"))</f>
        <v>Standard</v>
      </c>
      <c r="U417" s="7" t="str">
        <f aca="false">IF(AND(F417&gt;=7,G417&gt;=7),"High Quality Experience","Review Needed")</f>
        <v>Review Needed</v>
      </c>
      <c r="V417" s="7" t="str">
        <f aca="false">IF(H417&gt;=10,"Repeat Buyer","Occasional Buyer")</f>
        <v>Repeat Buyer</v>
      </c>
      <c r="W417" s="7" t="str">
        <f aca="false">IF(AND(K417&lt;70,I417="Low"),"At Risk","Stable")</f>
        <v>Stable</v>
      </c>
      <c r="X417" s="7" t="str">
        <f aca="false">IF(AND(K417&lt;75,I417="Low",J417="Bronze"),"Priority Followup","No Action")</f>
        <v>No Action</v>
      </c>
    </row>
    <row r="418" customFormat="false" ht="15" hidden="false" customHeight="false" outlineLevel="0" collapsed="false">
      <c r="A418" s="2" t="n">
        <v>416</v>
      </c>
      <c r="B418" s="2" t="n">
        <v>57</v>
      </c>
      <c r="C418" s="2" t="s">
        <v>11</v>
      </c>
      <c r="D418" s="2" t="s">
        <v>18</v>
      </c>
      <c r="E418" s="2" t="n">
        <v>37692</v>
      </c>
      <c r="F418" s="2" t="n">
        <v>6</v>
      </c>
      <c r="G418" s="2" t="n">
        <v>1</v>
      </c>
      <c r="H418" s="2" t="n">
        <v>14</v>
      </c>
      <c r="I418" s="2" t="s">
        <v>15</v>
      </c>
      <c r="J418" s="2" t="s">
        <v>16</v>
      </c>
      <c r="K418" s="2" t="n">
        <v>84.26</v>
      </c>
      <c r="L418" s="8" t="str">
        <f aca="false">IF(B418&lt;25,"Gen Z",IF(B418&lt;40,"Millennial",IF(B418&lt;55,"Gen X","Baby Boomer")))</f>
        <v>Baby Boomer</v>
      </c>
      <c r="M418" s="8" t="str">
        <f aca="false">IF(E418&lt;50000,"Low Income",IF(E418&lt;80000,"Middle Income",IF(E418&lt;100000,"Upper Middle","High Income")))</f>
        <v>Low Income</v>
      </c>
      <c r="N418" s="8" t="str">
        <f aca="false">IF(F418&lt;=3,"Poor",IF(F418&lt;=6,"Average",IF(F418&lt;=8,"Good","Excellent")))</f>
        <v>Average</v>
      </c>
      <c r="O418" s="8" t="str">
        <f aca="false">IF(G418&lt;=3,"Poor",IF(G418&lt;=6,"Average",IF(G418&lt;=8,"Good","Excellent")))</f>
        <v>Poor</v>
      </c>
      <c r="P418" s="8" t="str">
        <f aca="false">IF(H418&lt;=5,"Low Frequency",IF(H418&lt;=10,"Moderate",IF(H418&lt;=15,"High","Very High")))</f>
        <v>High</v>
      </c>
      <c r="Q418" s="8" t="str">
        <f aca="false">IF(K418&gt;=90,"Highly Satisfied",IF(K418&gt;=75,"Satisfied",IF(K418&gt;=60,"Neutral","Dissatisfied")))</f>
        <v>Satisfied</v>
      </c>
      <c r="R418" s="8" t="str">
        <f aca="false">UPPER(LEFT(TRIM(J418),1))&amp;LOWER(MID(TRIM(J418),2,100))</f>
        <v>Gold</v>
      </c>
      <c r="S418" s="8" t="str">
        <f aca="false">IF(I418="High","Positive",IF(I418="Medium","Neutral","Negative"))</f>
        <v>Neutral</v>
      </c>
      <c r="T418" s="8" t="str">
        <f aca="false">IF(AND(E418&gt;=80000,H418&gt;=15),"Premium",IF(AND(E418&gt;=50000,H418&gt;=10),"Standard","Basic"))</f>
        <v>Basic</v>
      </c>
      <c r="U418" s="8" t="str">
        <f aca="false">IF(AND(F418&gt;=7,G418&gt;=7),"High Quality Experience","Review Needed")</f>
        <v>Review Needed</v>
      </c>
      <c r="V418" s="8" t="str">
        <f aca="false">IF(H418&gt;=10,"Repeat Buyer","Occasional Buyer")</f>
        <v>Repeat Buyer</v>
      </c>
      <c r="W418" s="8" t="str">
        <f aca="false">IF(AND(K418&lt;70,I418="Low"),"At Risk","Stable")</f>
        <v>Stable</v>
      </c>
      <c r="X418" s="8" t="str">
        <f aca="false">IF(AND(K418&lt;75,I418="Low",J418="Bronze"),"Priority Followup","No Action")</f>
        <v>No Action</v>
      </c>
    </row>
    <row r="419" customFormat="false" ht="15" hidden="false" customHeight="false" outlineLevel="0" collapsed="false">
      <c r="A419" s="3" t="n">
        <v>417</v>
      </c>
      <c r="B419" s="3" t="n">
        <v>50</v>
      </c>
      <c r="C419" s="3" t="s">
        <v>17</v>
      </c>
      <c r="D419" s="3" t="s">
        <v>23</v>
      </c>
      <c r="E419" s="3" t="n">
        <v>73845</v>
      </c>
      <c r="F419" s="3" t="n">
        <v>1</v>
      </c>
      <c r="G419" s="3" t="n">
        <v>3</v>
      </c>
      <c r="H419" s="3" t="n">
        <v>3</v>
      </c>
      <c r="I419" s="3" t="s">
        <v>15</v>
      </c>
      <c r="J419" s="3" t="s">
        <v>14</v>
      </c>
      <c r="K419" s="3" t="n">
        <v>50.98</v>
      </c>
      <c r="L419" s="7" t="str">
        <f aca="false">IF(B419&lt;25,"Gen Z",IF(B419&lt;40,"Millennial",IF(B419&lt;55,"Gen X","Baby Boomer")))</f>
        <v>Gen X</v>
      </c>
      <c r="M419" s="7" t="str">
        <f aca="false">IF(E419&lt;50000,"Low Income",IF(E419&lt;80000,"Middle Income",IF(E419&lt;100000,"Upper Middle","High Income")))</f>
        <v>Middle Income</v>
      </c>
      <c r="N419" s="7" t="str">
        <f aca="false">IF(F419&lt;=3,"Poor",IF(F419&lt;=6,"Average",IF(F419&lt;=8,"Good","Excellent")))</f>
        <v>Poor</v>
      </c>
      <c r="O419" s="7" t="str">
        <f aca="false">IF(G419&lt;=3,"Poor",IF(G419&lt;=6,"Average",IF(G419&lt;=8,"Good","Excellent")))</f>
        <v>Poor</v>
      </c>
      <c r="P419" s="7" t="str">
        <f aca="false">IF(H419&lt;=5,"Low Frequency",IF(H419&lt;=10,"Moderate",IF(H419&lt;=15,"High","Very High")))</f>
        <v>Low Frequency</v>
      </c>
      <c r="Q419" s="7" t="str">
        <f aca="false">IF(K419&gt;=90,"Highly Satisfied",IF(K419&gt;=75,"Satisfied",IF(K419&gt;=60,"Neutral","Dissatisfied")))</f>
        <v>Dissatisfied</v>
      </c>
      <c r="R419" s="7" t="str">
        <f aca="false">UPPER(LEFT(TRIM(J419),1))&amp;LOWER(MID(TRIM(J419),2,100))</f>
        <v>Bronze</v>
      </c>
      <c r="S419" s="7" t="str">
        <f aca="false">IF(I419="High","Positive",IF(I419="Medium","Neutral","Negative"))</f>
        <v>Neutral</v>
      </c>
      <c r="T419" s="7" t="str">
        <f aca="false">IF(AND(E419&gt;=80000,H419&gt;=15),"Premium",IF(AND(E419&gt;=50000,H419&gt;=10),"Standard","Basic"))</f>
        <v>Basic</v>
      </c>
      <c r="U419" s="7" t="str">
        <f aca="false">IF(AND(F419&gt;=7,G419&gt;=7),"High Quality Experience","Review Needed")</f>
        <v>Review Needed</v>
      </c>
      <c r="V419" s="7" t="str">
        <f aca="false">IF(H419&gt;=10,"Repeat Buyer","Occasional Buyer")</f>
        <v>Occasional Buyer</v>
      </c>
      <c r="W419" s="7" t="str">
        <f aca="false">IF(AND(K419&lt;70,I419="Low"),"At Risk","Stable")</f>
        <v>Stable</v>
      </c>
      <c r="X419" s="7" t="str">
        <f aca="false">IF(AND(K419&lt;75,I419="Low",J419="Bronze"),"Priority Followup","No Action")</f>
        <v>No Action</v>
      </c>
    </row>
    <row r="420" customFormat="false" ht="15" hidden="false" customHeight="false" outlineLevel="0" collapsed="false">
      <c r="A420" s="2" t="n">
        <v>418</v>
      </c>
      <c r="B420" s="2" t="n">
        <v>26</v>
      </c>
      <c r="C420" s="2" t="s">
        <v>17</v>
      </c>
      <c r="D420" s="2" t="s">
        <v>12</v>
      </c>
      <c r="E420" s="2" t="n">
        <v>65594</v>
      </c>
      <c r="F420" s="2" t="n">
        <v>3</v>
      </c>
      <c r="G420" s="2" t="n">
        <v>1</v>
      </c>
      <c r="H420" s="2" t="n">
        <v>8</v>
      </c>
      <c r="I420" s="2" t="s">
        <v>15</v>
      </c>
      <c r="J420" s="2" t="s">
        <v>16</v>
      </c>
      <c r="K420" s="2" t="n">
        <v>48.4</v>
      </c>
      <c r="L420" s="8" t="str">
        <f aca="false">IF(B420&lt;25,"Gen Z",IF(B420&lt;40,"Millennial",IF(B420&lt;55,"Gen X","Baby Boomer")))</f>
        <v>Millennial</v>
      </c>
      <c r="M420" s="8" t="str">
        <f aca="false">IF(E420&lt;50000,"Low Income",IF(E420&lt;80000,"Middle Income",IF(E420&lt;100000,"Upper Middle","High Income")))</f>
        <v>Middle Income</v>
      </c>
      <c r="N420" s="8" t="str">
        <f aca="false">IF(F420&lt;=3,"Poor",IF(F420&lt;=6,"Average",IF(F420&lt;=8,"Good","Excellent")))</f>
        <v>Poor</v>
      </c>
      <c r="O420" s="8" t="str">
        <f aca="false">IF(G420&lt;=3,"Poor",IF(G420&lt;=6,"Average",IF(G420&lt;=8,"Good","Excellent")))</f>
        <v>Poor</v>
      </c>
      <c r="P420" s="8" t="str">
        <f aca="false">IF(H420&lt;=5,"Low Frequency",IF(H420&lt;=10,"Moderate",IF(H420&lt;=15,"High","Very High")))</f>
        <v>Moderate</v>
      </c>
      <c r="Q420" s="8" t="str">
        <f aca="false">IF(K420&gt;=90,"Highly Satisfied",IF(K420&gt;=75,"Satisfied",IF(K420&gt;=60,"Neutral","Dissatisfied")))</f>
        <v>Dissatisfied</v>
      </c>
      <c r="R420" s="8" t="str">
        <f aca="false">UPPER(LEFT(TRIM(J420),1))&amp;LOWER(MID(TRIM(J420),2,100))</f>
        <v>Gold</v>
      </c>
      <c r="S420" s="8" t="str">
        <f aca="false">IF(I420="High","Positive",IF(I420="Medium","Neutral","Negative"))</f>
        <v>Neutral</v>
      </c>
      <c r="T420" s="8" t="str">
        <f aca="false">IF(AND(E420&gt;=80000,H420&gt;=15),"Premium",IF(AND(E420&gt;=50000,H420&gt;=10),"Standard","Basic"))</f>
        <v>Basic</v>
      </c>
      <c r="U420" s="8" t="str">
        <f aca="false">IF(AND(F420&gt;=7,G420&gt;=7),"High Quality Experience","Review Needed")</f>
        <v>Review Needed</v>
      </c>
      <c r="V420" s="8" t="str">
        <f aca="false">IF(H420&gt;=10,"Repeat Buyer","Occasional Buyer")</f>
        <v>Occasional Buyer</v>
      </c>
      <c r="W420" s="8" t="str">
        <f aca="false">IF(AND(K420&lt;70,I420="Low"),"At Risk","Stable")</f>
        <v>Stable</v>
      </c>
      <c r="X420" s="8" t="str">
        <f aca="false">IF(AND(K420&lt;75,I420="Low",J420="Bronze"),"Priority Followup","No Action")</f>
        <v>No Action</v>
      </c>
    </row>
    <row r="421" customFormat="false" ht="15" hidden="false" customHeight="false" outlineLevel="0" collapsed="false">
      <c r="A421" s="3" t="n">
        <v>419</v>
      </c>
      <c r="B421" s="3" t="n">
        <v>60</v>
      </c>
      <c r="C421" s="3" t="s">
        <v>11</v>
      </c>
      <c r="D421" s="3" t="s">
        <v>18</v>
      </c>
      <c r="E421" s="3" t="n">
        <v>49831</v>
      </c>
      <c r="F421" s="3" t="n">
        <v>1</v>
      </c>
      <c r="G421" s="3" t="n">
        <v>4</v>
      </c>
      <c r="H421" s="3" t="n">
        <v>5</v>
      </c>
      <c r="I421" s="3" t="s">
        <v>21</v>
      </c>
      <c r="J421" s="3" t="s">
        <v>19</v>
      </c>
      <c r="K421" s="3" t="n">
        <v>50.74</v>
      </c>
      <c r="L421" s="7" t="str">
        <f aca="false">IF(B421&lt;25,"Gen Z",IF(B421&lt;40,"Millennial",IF(B421&lt;55,"Gen X","Baby Boomer")))</f>
        <v>Baby Boomer</v>
      </c>
      <c r="M421" s="7" t="str">
        <f aca="false">IF(E421&lt;50000,"Low Income",IF(E421&lt;80000,"Middle Income",IF(E421&lt;100000,"Upper Middle","High Income")))</f>
        <v>Low Income</v>
      </c>
      <c r="N421" s="7" t="str">
        <f aca="false">IF(F421&lt;=3,"Poor",IF(F421&lt;=6,"Average",IF(F421&lt;=8,"Good","Excellent")))</f>
        <v>Poor</v>
      </c>
      <c r="O421" s="7" t="str">
        <f aca="false">IF(G421&lt;=3,"Poor",IF(G421&lt;=6,"Average",IF(G421&lt;=8,"Good","Excellent")))</f>
        <v>Average</v>
      </c>
      <c r="P421" s="7" t="str">
        <f aca="false">IF(H421&lt;=5,"Low Frequency",IF(H421&lt;=10,"Moderate",IF(H421&lt;=15,"High","Very High")))</f>
        <v>Low Frequency</v>
      </c>
      <c r="Q421" s="7" t="str">
        <f aca="false">IF(K421&gt;=90,"Highly Satisfied",IF(K421&gt;=75,"Satisfied",IF(K421&gt;=60,"Neutral","Dissatisfied")))</f>
        <v>Dissatisfied</v>
      </c>
      <c r="R421" s="7" t="str">
        <f aca="false">UPPER(LEFT(TRIM(J421),1))&amp;LOWER(MID(TRIM(J421),2,100))</f>
        <v>Silver</v>
      </c>
      <c r="S421" s="7" t="str">
        <f aca="false">IF(I421="High","Positive",IF(I421="Medium","Neutral","Negative"))</f>
        <v>Positive</v>
      </c>
      <c r="T421" s="7" t="str">
        <f aca="false">IF(AND(E421&gt;=80000,H421&gt;=15),"Premium",IF(AND(E421&gt;=50000,H421&gt;=10),"Standard","Basic"))</f>
        <v>Basic</v>
      </c>
      <c r="U421" s="7" t="str">
        <f aca="false">IF(AND(F421&gt;=7,G421&gt;=7),"High Quality Experience","Review Needed")</f>
        <v>Review Needed</v>
      </c>
      <c r="V421" s="7" t="str">
        <f aca="false">IF(H421&gt;=10,"Repeat Buyer","Occasional Buyer")</f>
        <v>Occasional Buyer</v>
      </c>
      <c r="W421" s="7" t="str">
        <f aca="false">IF(AND(K421&lt;70,I421="Low"),"At Risk","Stable")</f>
        <v>Stable</v>
      </c>
      <c r="X421" s="7" t="str">
        <f aca="false">IF(AND(K421&lt;75,I421="Low",J421="Bronze"),"Priority Followup","No Action")</f>
        <v>No Action</v>
      </c>
    </row>
    <row r="422" customFormat="false" ht="15" hidden="false" customHeight="false" outlineLevel="0" collapsed="false">
      <c r="A422" s="2" t="n">
        <v>420</v>
      </c>
      <c r="B422" s="2" t="n">
        <v>65</v>
      </c>
      <c r="C422" s="2" t="s">
        <v>11</v>
      </c>
      <c r="D422" s="2" t="s">
        <v>12</v>
      </c>
      <c r="E422" s="2" t="n">
        <v>102086</v>
      </c>
      <c r="F422" s="2" t="n">
        <v>4</v>
      </c>
      <c r="G422" s="2" t="n">
        <v>10</v>
      </c>
      <c r="H422" s="2" t="n">
        <v>4</v>
      </c>
      <c r="I422" s="2" t="s">
        <v>21</v>
      </c>
      <c r="J422" s="2" t="s">
        <v>16</v>
      </c>
      <c r="K422" s="2" t="n">
        <v>100</v>
      </c>
      <c r="L422" s="8" t="str">
        <f aca="false">IF(B422&lt;25,"Gen Z",IF(B422&lt;40,"Millennial",IF(B422&lt;55,"Gen X","Baby Boomer")))</f>
        <v>Baby Boomer</v>
      </c>
      <c r="M422" s="8" t="str">
        <f aca="false">IF(E422&lt;50000,"Low Income",IF(E422&lt;80000,"Middle Income",IF(E422&lt;100000,"Upper Middle","High Income")))</f>
        <v>High Income</v>
      </c>
      <c r="N422" s="8" t="str">
        <f aca="false">IF(F422&lt;=3,"Poor",IF(F422&lt;=6,"Average",IF(F422&lt;=8,"Good","Excellent")))</f>
        <v>Average</v>
      </c>
      <c r="O422" s="8" t="str">
        <f aca="false">IF(G422&lt;=3,"Poor",IF(G422&lt;=6,"Average",IF(G422&lt;=8,"Good","Excellent")))</f>
        <v>Excellent</v>
      </c>
      <c r="P422" s="8" t="str">
        <f aca="false">IF(H422&lt;=5,"Low Frequency",IF(H422&lt;=10,"Moderate",IF(H422&lt;=15,"High","Very High")))</f>
        <v>Low Frequency</v>
      </c>
      <c r="Q422" s="8" t="str">
        <f aca="false">IF(K422&gt;=90,"Highly Satisfied",IF(K422&gt;=75,"Satisfied",IF(K422&gt;=60,"Neutral","Dissatisfied")))</f>
        <v>Highly Satisfied</v>
      </c>
      <c r="R422" s="8" t="str">
        <f aca="false">UPPER(LEFT(TRIM(J422),1))&amp;LOWER(MID(TRIM(J422),2,100))</f>
        <v>Gold</v>
      </c>
      <c r="S422" s="8" t="str">
        <f aca="false">IF(I422="High","Positive",IF(I422="Medium","Neutral","Negative"))</f>
        <v>Positive</v>
      </c>
      <c r="T422" s="8" t="str">
        <f aca="false">IF(AND(E422&gt;=80000,H422&gt;=15),"Premium",IF(AND(E422&gt;=50000,H422&gt;=10),"Standard","Basic"))</f>
        <v>Basic</v>
      </c>
      <c r="U422" s="8" t="str">
        <f aca="false">IF(AND(F422&gt;=7,G422&gt;=7),"High Quality Experience","Review Needed")</f>
        <v>Review Needed</v>
      </c>
      <c r="V422" s="8" t="str">
        <f aca="false">IF(H422&gt;=10,"Repeat Buyer","Occasional Buyer")</f>
        <v>Occasional Buyer</v>
      </c>
      <c r="W422" s="8" t="str">
        <f aca="false">IF(AND(K422&lt;70,I422="Low"),"At Risk","Stable")</f>
        <v>Stable</v>
      </c>
      <c r="X422" s="8" t="str">
        <f aca="false">IF(AND(K422&lt;75,I422="Low",J422="Bronze"),"Priority Followup","No Action")</f>
        <v>No Action</v>
      </c>
    </row>
    <row r="423" customFormat="false" ht="15" hidden="false" customHeight="false" outlineLevel="0" collapsed="false">
      <c r="A423" s="3" t="n">
        <v>421</v>
      </c>
      <c r="B423" s="3" t="n">
        <v>56</v>
      </c>
      <c r="C423" s="3" t="s">
        <v>11</v>
      </c>
      <c r="D423" s="3" t="s">
        <v>20</v>
      </c>
      <c r="E423" s="3" t="n">
        <v>73504</v>
      </c>
      <c r="F423" s="3" t="n">
        <v>9</v>
      </c>
      <c r="G423" s="3" t="n">
        <v>4</v>
      </c>
      <c r="H423" s="3" t="n">
        <v>4</v>
      </c>
      <c r="I423" s="3" t="s">
        <v>13</v>
      </c>
      <c r="J423" s="3" t="s">
        <v>14</v>
      </c>
      <c r="K423" s="3" t="n">
        <v>80.66</v>
      </c>
      <c r="L423" s="7" t="str">
        <f aca="false">IF(B423&lt;25,"Gen Z",IF(B423&lt;40,"Millennial",IF(B423&lt;55,"Gen X","Baby Boomer")))</f>
        <v>Baby Boomer</v>
      </c>
      <c r="M423" s="7" t="str">
        <f aca="false">IF(E423&lt;50000,"Low Income",IF(E423&lt;80000,"Middle Income",IF(E423&lt;100000,"Upper Middle","High Income")))</f>
        <v>Middle Income</v>
      </c>
      <c r="N423" s="7" t="str">
        <f aca="false">IF(F423&lt;=3,"Poor",IF(F423&lt;=6,"Average",IF(F423&lt;=8,"Good","Excellent")))</f>
        <v>Excellent</v>
      </c>
      <c r="O423" s="7" t="str">
        <f aca="false">IF(G423&lt;=3,"Poor",IF(G423&lt;=6,"Average",IF(G423&lt;=8,"Good","Excellent")))</f>
        <v>Average</v>
      </c>
      <c r="P423" s="7" t="str">
        <f aca="false">IF(H423&lt;=5,"Low Frequency",IF(H423&lt;=10,"Moderate",IF(H423&lt;=15,"High","Very High")))</f>
        <v>Low Frequency</v>
      </c>
      <c r="Q423" s="7" t="str">
        <f aca="false">IF(K423&gt;=90,"Highly Satisfied",IF(K423&gt;=75,"Satisfied",IF(K423&gt;=60,"Neutral","Dissatisfied")))</f>
        <v>Satisfied</v>
      </c>
      <c r="R423" s="7" t="str">
        <f aca="false">UPPER(LEFT(TRIM(J423),1))&amp;LOWER(MID(TRIM(J423),2,100))</f>
        <v>Bronze</v>
      </c>
      <c r="S423" s="7" t="str">
        <f aca="false">IF(I423="High","Positive",IF(I423="Medium","Neutral","Negative"))</f>
        <v>Negative</v>
      </c>
      <c r="T423" s="7" t="str">
        <f aca="false">IF(AND(E423&gt;=80000,H423&gt;=15),"Premium",IF(AND(E423&gt;=50000,H423&gt;=10),"Standard","Basic"))</f>
        <v>Basic</v>
      </c>
      <c r="U423" s="7" t="str">
        <f aca="false">IF(AND(F423&gt;=7,G423&gt;=7),"High Quality Experience","Review Needed")</f>
        <v>Review Needed</v>
      </c>
      <c r="V423" s="7" t="str">
        <f aca="false">IF(H423&gt;=10,"Repeat Buyer","Occasional Buyer")</f>
        <v>Occasional Buyer</v>
      </c>
      <c r="W423" s="7" t="str">
        <f aca="false">IF(AND(K423&lt;70,I423="Low"),"At Risk","Stable")</f>
        <v>Stable</v>
      </c>
      <c r="X423" s="7" t="str">
        <f aca="false">IF(AND(K423&lt;75,I423="Low",J423="Bronze"),"Priority Followup","No Action")</f>
        <v>No Action</v>
      </c>
    </row>
    <row r="424" customFormat="false" ht="15" hidden="false" customHeight="false" outlineLevel="0" collapsed="false">
      <c r="A424" s="2" t="n">
        <v>422</v>
      </c>
      <c r="B424" s="2" t="n">
        <v>46</v>
      </c>
      <c r="C424" s="2" t="s">
        <v>11</v>
      </c>
      <c r="D424" s="2" t="s">
        <v>12</v>
      </c>
      <c r="E424" s="2" t="n">
        <v>37223</v>
      </c>
      <c r="F424" s="2" t="n">
        <v>4</v>
      </c>
      <c r="G424" s="2" t="n">
        <v>8</v>
      </c>
      <c r="H424" s="2" t="n">
        <v>1</v>
      </c>
      <c r="I424" s="2" t="s">
        <v>13</v>
      </c>
      <c r="J424" s="2" t="s">
        <v>14</v>
      </c>
      <c r="K424" s="2" t="n">
        <v>82.57</v>
      </c>
      <c r="L424" s="8" t="str">
        <f aca="false">IF(B424&lt;25,"Gen Z",IF(B424&lt;40,"Millennial",IF(B424&lt;55,"Gen X","Baby Boomer")))</f>
        <v>Gen X</v>
      </c>
      <c r="M424" s="8" t="str">
        <f aca="false">IF(E424&lt;50000,"Low Income",IF(E424&lt;80000,"Middle Income",IF(E424&lt;100000,"Upper Middle","High Income")))</f>
        <v>Low Income</v>
      </c>
      <c r="N424" s="8" t="str">
        <f aca="false">IF(F424&lt;=3,"Poor",IF(F424&lt;=6,"Average",IF(F424&lt;=8,"Good","Excellent")))</f>
        <v>Average</v>
      </c>
      <c r="O424" s="8" t="str">
        <f aca="false">IF(G424&lt;=3,"Poor",IF(G424&lt;=6,"Average",IF(G424&lt;=8,"Good","Excellent")))</f>
        <v>Good</v>
      </c>
      <c r="P424" s="8" t="str">
        <f aca="false">IF(H424&lt;=5,"Low Frequency",IF(H424&lt;=10,"Moderate",IF(H424&lt;=15,"High","Very High")))</f>
        <v>Low Frequency</v>
      </c>
      <c r="Q424" s="8" t="str">
        <f aca="false">IF(K424&gt;=90,"Highly Satisfied",IF(K424&gt;=75,"Satisfied",IF(K424&gt;=60,"Neutral","Dissatisfied")))</f>
        <v>Satisfied</v>
      </c>
      <c r="R424" s="8" t="str">
        <f aca="false">UPPER(LEFT(TRIM(J424),1))&amp;LOWER(MID(TRIM(J424),2,100))</f>
        <v>Bronze</v>
      </c>
      <c r="S424" s="8" t="str">
        <f aca="false">IF(I424="High","Positive",IF(I424="Medium","Neutral","Negative"))</f>
        <v>Negative</v>
      </c>
      <c r="T424" s="8" t="str">
        <f aca="false">IF(AND(E424&gt;=80000,H424&gt;=15),"Premium",IF(AND(E424&gt;=50000,H424&gt;=10),"Standard","Basic"))</f>
        <v>Basic</v>
      </c>
      <c r="U424" s="8" t="str">
        <f aca="false">IF(AND(F424&gt;=7,G424&gt;=7),"High Quality Experience","Review Needed")</f>
        <v>Review Needed</v>
      </c>
      <c r="V424" s="8" t="str">
        <f aca="false">IF(H424&gt;=10,"Repeat Buyer","Occasional Buyer")</f>
        <v>Occasional Buyer</v>
      </c>
      <c r="W424" s="8" t="str">
        <f aca="false">IF(AND(K424&lt;70,I424="Low"),"At Risk","Stable")</f>
        <v>Stable</v>
      </c>
      <c r="X424" s="8" t="str">
        <f aca="false">IF(AND(K424&lt;75,I424="Low",J424="Bronze"),"Priority Followup","No Action")</f>
        <v>No Action</v>
      </c>
    </row>
    <row r="425" customFormat="false" ht="15" hidden="false" customHeight="false" outlineLevel="0" collapsed="false">
      <c r="A425" s="3" t="n">
        <v>423</v>
      </c>
      <c r="B425" s="3" t="n">
        <v>59</v>
      </c>
      <c r="C425" s="3" t="s">
        <v>11</v>
      </c>
      <c r="D425" s="3" t="s">
        <v>20</v>
      </c>
      <c r="E425" s="3" t="n">
        <v>33336</v>
      </c>
      <c r="F425" s="3" t="n">
        <v>7</v>
      </c>
      <c r="G425" s="3" t="n">
        <v>6</v>
      </c>
      <c r="H425" s="3" t="n">
        <v>19</v>
      </c>
      <c r="I425" s="3" t="s">
        <v>15</v>
      </c>
      <c r="J425" s="3" t="s">
        <v>19</v>
      </c>
      <c r="K425" s="3" t="n">
        <v>87.78</v>
      </c>
      <c r="L425" s="7" t="str">
        <f aca="false">IF(B425&lt;25,"Gen Z",IF(B425&lt;40,"Millennial",IF(B425&lt;55,"Gen X","Baby Boomer")))</f>
        <v>Baby Boomer</v>
      </c>
      <c r="M425" s="7" t="str">
        <f aca="false">IF(E425&lt;50000,"Low Income",IF(E425&lt;80000,"Middle Income",IF(E425&lt;100000,"Upper Middle","High Income")))</f>
        <v>Low Income</v>
      </c>
      <c r="N425" s="7" t="str">
        <f aca="false">IF(F425&lt;=3,"Poor",IF(F425&lt;=6,"Average",IF(F425&lt;=8,"Good","Excellent")))</f>
        <v>Good</v>
      </c>
      <c r="O425" s="7" t="str">
        <f aca="false">IF(G425&lt;=3,"Poor",IF(G425&lt;=6,"Average",IF(G425&lt;=8,"Good","Excellent")))</f>
        <v>Average</v>
      </c>
      <c r="P425" s="7" t="str">
        <f aca="false">IF(H425&lt;=5,"Low Frequency",IF(H425&lt;=10,"Moderate",IF(H425&lt;=15,"High","Very High")))</f>
        <v>Very High</v>
      </c>
      <c r="Q425" s="7" t="str">
        <f aca="false">IF(K425&gt;=90,"Highly Satisfied",IF(K425&gt;=75,"Satisfied",IF(K425&gt;=60,"Neutral","Dissatisfied")))</f>
        <v>Satisfied</v>
      </c>
      <c r="R425" s="7" t="str">
        <f aca="false">UPPER(LEFT(TRIM(J425),1))&amp;LOWER(MID(TRIM(J425),2,100))</f>
        <v>Silver</v>
      </c>
      <c r="S425" s="7" t="str">
        <f aca="false">IF(I425="High","Positive",IF(I425="Medium","Neutral","Negative"))</f>
        <v>Neutral</v>
      </c>
      <c r="T425" s="7" t="str">
        <f aca="false">IF(AND(E425&gt;=80000,H425&gt;=15),"Premium",IF(AND(E425&gt;=50000,H425&gt;=10),"Standard","Basic"))</f>
        <v>Basic</v>
      </c>
      <c r="U425" s="7" t="str">
        <f aca="false">IF(AND(F425&gt;=7,G425&gt;=7),"High Quality Experience","Review Needed")</f>
        <v>Review Needed</v>
      </c>
      <c r="V425" s="7" t="str">
        <f aca="false">IF(H425&gt;=10,"Repeat Buyer","Occasional Buyer")</f>
        <v>Repeat Buyer</v>
      </c>
      <c r="W425" s="7" t="str">
        <f aca="false">IF(AND(K425&lt;70,I425="Low"),"At Risk","Stable")</f>
        <v>Stable</v>
      </c>
      <c r="X425" s="7" t="str">
        <f aca="false">IF(AND(K425&lt;75,I425="Low",J425="Bronze"),"Priority Followup","No Action")</f>
        <v>No Action</v>
      </c>
    </row>
    <row r="426" customFormat="false" ht="15" hidden="false" customHeight="false" outlineLevel="0" collapsed="false">
      <c r="A426" s="2" t="n">
        <v>424</v>
      </c>
      <c r="B426" s="2" t="n">
        <v>43</v>
      </c>
      <c r="C426" s="2" t="s">
        <v>17</v>
      </c>
      <c r="D426" s="2" t="s">
        <v>18</v>
      </c>
      <c r="E426" s="2" t="n">
        <v>108970</v>
      </c>
      <c r="F426" s="2" t="n">
        <v>8</v>
      </c>
      <c r="G426" s="2" t="n">
        <v>2</v>
      </c>
      <c r="H426" s="2" t="n">
        <v>7</v>
      </c>
      <c r="I426" s="2" t="s">
        <v>15</v>
      </c>
      <c r="J426" s="2" t="s">
        <v>19</v>
      </c>
      <c r="K426" s="2" t="n">
        <v>81.66</v>
      </c>
      <c r="L426" s="8" t="str">
        <f aca="false">IF(B426&lt;25,"Gen Z",IF(B426&lt;40,"Millennial",IF(B426&lt;55,"Gen X","Baby Boomer")))</f>
        <v>Gen X</v>
      </c>
      <c r="M426" s="8" t="str">
        <f aca="false">IF(E426&lt;50000,"Low Income",IF(E426&lt;80000,"Middle Income",IF(E426&lt;100000,"Upper Middle","High Income")))</f>
        <v>High Income</v>
      </c>
      <c r="N426" s="8" t="str">
        <f aca="false">IF(F426&lt;=3,"Poor",IF(F426&lt;=6,"Average",IF(F426&lt;=8,"Good","Excellent")))</f>
        <v>Good</v>
      </c>
      <c r="O426" s="8" t="str">
        <f aca="false">IF(G426&lt;=3,"Poor",IF(G426&lt;=6,"Average",IF(G426&lt;=8,"Good","Excellent")))</f>
        <v>Poor</v>
      </c>
      <c r="P426" s="8" t="str">
        <f aca="false">IF(H426&lt;=5,"Low Frequency",IF(H426&lt;=10,"Moderate",IF(H426&lt;=15,"High","Very High")))</f>
        <v>Moderate</v>
      </c>
      <c r="Q426" s="8" t="str">
        <f aca="false">IF(K426&gt;=90,"Highly Satisfied",IF(K426&gt;=75,"Satisfied",IF(K426&gt;=60,"Neutral","Dissatisfied")))</f>
        <v>Satisfied</v>
      </c>
      <c r="R426" s="8" t="str">
        <f aca="false">UPPER(LEFT(TRIM(J426),1))&amp;LOWER(MID(TRIM(J426),2,100))</f>
        <v>Silver</v>
      </c>
      <c r="S426" s="8" t="str">
        <f aca="false">IF(I426="High","Positive",IF(I426="Medium","Neutral","Negative"))</f>
        <v>Neutral</v>
      </c>
      <c r="T426" s="8" t="str">
        <f aca="false">IF(AND(E426&gt;=80000,H426&gt;=15),"Premium",IF(AND(E426&gt;=50000,H426&gt;=10),"Standard","Basic"))</f>
        <v>Basic</v>
      </c>
      <c r="U426" s="8" t="str">
        <f aca="false">IF(AND(F426&gt;=7,G426&gt;=7),"High Quality Experience","Review Needed")</f>
        <v>Review Needed</v>
      </c>
      <c r="V426" s="8" t="str">
        <f aca="false">IF(H426&gt;=10,"Repeat Buyer","Occasional Buyer")</f>
        <v>Occasional Buyer</v>
      </c>
      <c r="W426" s="8" t="str">
        <f aca="false">IF(AND(K426&lt;70,I426="Low"),"At Risk","Stable")</f>
        <v>Stable</v>
      </c>
      <c r="X426" s="8" t="str">
        <f aca="false">IF(AND(K426&lt;75,I426="Low",J426="Bronze"),"Priority Followup","No Action")</f>
        <v>No Action</v>
      </c>
    </row>
    <row r="427" customFormat="false" ht="15" hidden="false" customHeight="false" outlineLevel="0" collapsed="false">
      <c r="A427" s="3" t="n">
        <v>425</v>
      </c>
      <c r="B427" s="3" t="n">
        <v>52</v>
      </c>
      <c r="C427" s="3" t="s">
        <v>17</v>
      </c>
      <c r="D427" s="3" t="s">
        <v>20</v>
      </c>
      <c r="E427" s="3" t="n">
        <v>51842</v>
      </c>
      <c r="F427" s="3" t="n">
        <v>10</v>
      </c>
      <c r="G427" s="3" t="n">
        <v>5</v>
      </c>
      <c r="H427" s="3" t="n">
        <v>17</v>
      </c>
      <c r="I427" s="3" t="s">
        <v>15</v>
      </c>
      <c r="J427" s="3" t="s">
        <v>19</v>
      </c>
      <c r="K427" s="3" t="n">
        <v>100</v>
      </c>
      <c r="L427" s="7" t="str">
        <f aca="false">IF(B427&lt;25,"Gen Z",IF(B427&lt;40,"Millennial",IF(B427&lt;55,"Gen X","Baby Boomer")))</f>
        <v>Gen X</v>
      </c>
      <c r="M427" s="7" t="str">
        <f aca="false">IF(E427&lt;50000,"Low Income",IF(E427&lt;80000,"Middle Income",IF(E427&lt;100000,"Upper Middle","High Income")))</f>
        <v>Middle Income</v>
      </c>
      <c r="N427" s="7" t="str">
        <f aca="false">IF(F427&lt;=3,"Poor",IF(F427&lt;=6,"Average",IF(F427&lt;=8,"Good","Excellent")))</f>
        <v>Excellent</v>
      </c>
      <c r="O427" s="7" t="str">
        <f aca="false">IF(G427&lt;=3,"Poor",IF(G427&lt;=6,"Average",IF(G427&lt;=8,"Good","Excellent")))</f>
        <v>Average</v>
      </c>
      <c r="P427" s="7" t="str">
        <f aca="false">IF(H427&lt;=5,"Low Frequency",IF(H427&lt;=10,"Moderate",IF(H427&lt;=15,"High","Very High")))</f>
        <v>Very High</v>
      </c>
      <c r="Q427" s="7" t="str">
        <f aca="false">IF(K427&gt;=90,"Highly Satisfied",IF(K427&gt;=75,"Satisfied",IF(K427&gt;=60,"Neutral","Dissatisfied")))</f>
        <v>Highly Satisfied</v>
      </c>
      <c r="R427" s="7" t="str">
        <f aca="false">UPPER(LEFT(TRIM(J427),1))&amp;LOWER(MID(TRIM(J427),2,100))</f>
        <v>Silver</v>
      </c>
      <c r="S427" s="7" t="str">
        <f aca="false">IF(I427="High","Positive",IF(I427="Medium","Neutral","Negative"))</f>
        <v>Neutral</v>
      </c>
      <c r="T427" s="7" t="str">
        <f aca="false">IF(AND(E427&gt;=80000,H427&gt;=15),"Premium",IF(AND(E427&gt;=50000,H427&gt;=10),"Standard","Basic"))</f>
        <v>Standard</v>
      </c>
      <c r="U427" s="7" t="str">
        <f aca="false">IF(AND(F427&gt;=7,G427&gt;=7),"High Quality Experience","Review Needed")</f>
        <v>Review Needed</v>
      </c>
      <c r="V427" s="7" t="str">
        <f aca="false">IF(H427&gt;=10,"Repeat Buyer","Occasional Buyer")</f>
        <v>Repeat Buyer</v>
      </c>
      <c r="W427" s="7" t="str">
        <f aca="false">IF(AND(K427&lt;70,I427="Low"),"At Risk","Stable")</f>
        <v>Stable</v>
      </c>
      <c r="X427" s="7" t="str">
        <f aca="false">IF(AND(K427&lt;75,I427="Low",J427="Bronze"),"Priority Followup","No Action")</f>
        <v>No Action</v>
      </c>
    </row>
    <row r="428" customFormat="false" ht="15" hidden="false" customHeight="false" outlineLevel="0" collapsed="false">
      <c r="A428" s="2" t="n">
        <v>426</v>
      </c>
      <c r="B428" s="2" t="n">
        <v>67</v>
      </c>
      <c r="C428" s="2" t="s">
        <v>11</v>
      </c>
      <c r="D428" s="2" t="s">
        <v>12</v>
      </c>
      <c r="E428" s="2" t="n">
        <v>49682</v>
      </c>
      <c r="F428" s="2" t="n">
        <v>8</v>
      </c>
      <c r="G428" s="2" t="n">
        <v>9</v>
      </c>
      <c r="H428" s="2" t="n">
        <v>7</v>
      </c>
      <c r="I428" s="2" t="s">
        <v>21</v>
      </c>
      <c r="J428" s="2" t="s">
        <v>16</v>
      </c>
      <c r="K428" s="2" t="n">
        <v>100</v>
      </c>
      <c r="L428" s="8" t="str">
        <f aca="false">IF(B428&lt;25,"Gen Z",IF(B428&lt;40,"Millennial",IF(B428&lt;55,"Gen X","Baby Boomer")))</f>
        <v>Baby Boomer</v>
      </c>
      <c r="M428" s="8" t="str">
        <f aca="false">IF(E428&lt;50000,"Low Income",IF(E428&lt;80000,"Middle Income",IF(E428&lt;100000,"Upper Middle","High Income")))</f>
        <v>Low Income</v>
      </c>
      <c r="N428" s="8" t="str">
        <f aca="false">IF(F428&lt;=3,"Poor",IF(F428&lt;=6,"Average",IF(F428&lt;=8,"Good","Excellent")))</f>
        <v>Good</v>
      </c>
      <c r="O428" s="8" t="str">
        <f aca="false">IF(G428&lt;=3,"Poor",IF(G428&lt;=6,"Average",IF(G428&lt;=8,"Good","Excellent")))</f>
        <v>Excellent</v>
      </c>
      <c r="P428" s="8" t="str">
        <f aca="false">IF(H428&lt;=5,"Low Frequency",IF(H428&lt;=10,"Moderate",IF(H428&lt;=15,"High","Very High")))</f>
        <v>Moderate</v>
      </c>
      <c r="Q428" s="8" t="str">
        <f aca="false">IF(K428&gt;=90,"Highly Satisfied",IF(K428&gt;=75,"Satisfied",IF(K428&gt;=60,"Neutral","Dissatisfied")))</f>
        <v>Highly Satisfied</v>
      </c>
      <c r="R428" s="8" t="str">
        <f aca="false">UPPER(LEFT(TRIM(J428),1))&amp;LOWER(MID(TRIM(J428),2,100))</f>
        <v>Gold</v>
      </c>
      <c r="S428" s="8" t="str">
        <f aca="false">IF(I428="High","Positive",IF(I428="Medium","Neutral","Negative"))</f>
        <v>Positive</v>
      </c>
      <c r="T428" s="8" t="str">
        <f aca="false">IF(AND(E428&gt;=80000,H428&gt;=15),"Premium",IF(AND(E428&gt;=50000,H428&gt;=10),"Standard","Basic"))</f>
        <v>Basic</v>
      </c>
      <c r="U428" s="8" t="str">
        <f aca="false">IF(AND(F428&gt;=7,G428&gt;=7),"High Quality Experience","Review Needed")</f>
        <v>High Quality Experience</v>
      </c>
      <c r="V428" s="8" t="str">
        <f aca="false">IF(H428&gt;=10,"Repeat Buyer","Occasional Buyer")</f>
        <v>Occasional Buyer</v>
      </c>
      <c r="W428" s="8" t="str">
        <f aca="false">IF(AND(K428&lt;70,I428="Low"),"At Risk","Stable")</f>
        <v>Stable</v>
      </c>
      <c r="X428" s="8" t="str">
        <f aca="false">IF(AND(K428&lt;75,I428="Low",J428="Bronze"),"Priority Followup","No Action")</f>
        <v>No Action</v>
      </c>
    </row>
    <row r="429" customFormat="false" ht="15" hidden="false" customHeight="false" outlineLevel="0" collapsed="false">
      <c r="A429" s="3" t="n">
        <v>427</v>
      </c>
      <c r="B429" s="3" t="n">
        <v>42</v>
      </c>
      <c r="C429" s="3" t="s">
        <v>11</v>
      </c>
      <c r="D429" s="3" t="s">
        <v>23</v>
      </c>
      <c r="E429" s="3" t="n">
        <v>66831</v>
      </c>
      <c r="F429" s="3" t="n">
        <v>9</v>
      </c>
      <c r="G429" s="3" t="n">
        <v>3</v>
      </c>
      <c r="H429" s="3" t="n">
        <v>12</v>
      </c>
      <c r="I429" s="3" t="s">
        <v>13</v>
      </c>
      <c r="J429" s="3" t="s">
        <v>16</v>
      </c>
      <c r="K429" s="3" t="n">
        <v>94.02</v>
      </c>
      <c r="L429" s="7" t="str">
        <f aca="false">IF(B429&lt;25,"Gen Z",IF(B429&lt;40,"Millennial",IF(B429&lt;55,"Gen X","Baby Boomer")))</f>
        <v>Gen X</v>
      </c>
      <c r="M429" s="7" t="str">
        <f aca="false">IF(E429&lt;50000,"Low Income",IF(E429&lt;80000,"Middle Income",IF(E429&lt;100000,"Upper Middle","High Income")))</f>
        <v>Middle Income</v>
      </c>
      <c r="N429" s="7" t="str">
        <f aca="false">IF(F429&lt;=3,"Poor",IF(F429&lt;=6,"Average",IF(F429&lt;=8,"Good","Excellent")))</f>
        <v>Excellent</v>
      </c>
      <c r="O429" s="7" t="str">
        <f aca="false">IF(G429&lt;=3,"Poor",IF(G429&lt;=6,"Average",IF(G429&lt;=8,"Good","Excellent")))</f>
        <v>Poor</v>
      </c>
      <c r="P429" s="7" t="str">
        <f aca="false">IF(H429&lt;=5,"Low Frequency",IF(H429&lt;=10,"Moderate",IF(H429&lt;=15,"High","Very High")))</f>
        <v>High</v>
      </c>
      <c r="Q429" s="7" t="str">
        <f aca="false">IF(K429&gt;=90,"Highly Satisfied",IF(K429&gt;=75,"Satisfied",IF(K429&gt;=60,"Neutral","Dissatisfied")))</f>
        <v>Highly Satisfied</v>
      </c>
      <c r="R429" s="7" t="str">
        <f aca="false">UPPER(LEFT(TRIM(J429),1))&amp;LOWER(MID(TRIM(J429),2,100))</f>
        <v>Gold</v>
      </c>
      <c r="S429" s="7" t="str">
        <f aca="false">IF(I429="High","Positive",IF(I429="Medium","Neutral","Negative"))</f>
        <v>Negative</v>
      </c>
      <c r="T429" s="7" t="str">
        <f aca="false">IF(AND(E429&gt;=80000,H429&gt;=15),"Premium",IF(AND(E429&gt;=50000,H429&gt;=10),"Standard","Basic"))</f>
        <v>Standard</v>
      </c>
      <c r="U429" s="7" t="str">
        <f aca="false">IF(AND(F429&gt;=7,G429&gt;=7),"High Quality Experience","Review Needed")</f>
        <v>Review Needed</v>
      </c>
      <c r="V429" s="7" t="str">
        <f aca="false">IF(H429&gt;=10,"Repeat Buyer","Occasional Buyer")</f>
        <v>Repeat Buyer</v>
      </c>
      <c r="W429" s="7" t="str">
        <f aca="false">IF(AND(K429&lt;70,I429="Low"),"At Risk","Stable")</f>
        <v>Stable</v>
      </c>
      <c r="X429" s="7" t="str">
        <f aca="false">IF(AND(K429&lt;75,I429="Low",J429="Bronze"),"Priority Followup","No Action")</f>
        <v>No Action</v>
      </c>
    </row>
    <row r="430" customFormat="false" ht="15" hidden="false" customHeight="false" outlineLevel="0" collapsed="false">
      <c r="A430" s="2" t="n">
        <v>428</v>
      </c>
      <c r="B430" s="2" t="n">
        <v>41</v>
      </c>
      <c r="C430" s="2" t="s">
        <v>17</v>
      </c>
      <c r="D430" s="2" t="s">
        <v>20</v>
      </c>
      <c r="E430" s="2" t="n">
        <v>40989</v>
      </c>
      <c r="F430" s="2" t="n">
        <v>1</v>
      </c>
      <c r="G430" s="2" t="n">
        <v>2</v>
      </c>
      <c r="H430" s="2" t="n">
        <v>17</v>
      </c>
      <c r="I430" s="2" t="s">
        <v>21</v>
      </c>
      <c r="J430" s="2" t="s">
        <v>19</v>
      </c>
      <c r="K430" s="2" t="n">
        <v>42.03</v>
      </c>
      <c r="L430" s="8" t="str">
        <f aca="false">IF(B430&lt;25,"Gen Z",IF(B430&lt;40,"Millennial",IF(B430&lt;55,"Gen X","Baby Boomer")))</f>
        <v>Gen X</v>
      </c>
      <c r="M430" s="8" t="str">
        <f aca="false">IF(E430&lt;50000,"Low Income",IF(E430&lt;80000,"Middle Income",IF(E430&lt;100000,"Upper Middle","High Income")))</f>
        <v>Low Income</v>
      </c>
      <c r="N430" s="8" t="str">
        <f aca="false">IF(F430&lt;=3,"Poor",IF(F430&lt;=6,"Average",IF(F430&lt;=8,"Good","Excellent")))</f>
        <v>Poor</v>
      </c>
      <c r="O430" s="8" t="str">
        <f aca="false">IF(G430&lt;=3,"Poor",IF(G430&lt;=6,"Average",IF(G430&lt;=8,"Good","Excellent")))</f>
        <v>Poor</v>
      </c>
      <c r="P430" s="8" t="str">
        <f aca="false">IF(H430&lt;=5,"Low Frequency",IF(H430&lt;=10,"Moderate",IF(H430&lt;=15,"High","Very High")))</f>
        <v>Very High</v>
      </c>
      <c r="Q430" s="8" t="str">
        <f aca="false">IF(K430&gt;=90,"Highly Satisfied",IF(K430&gt;=75,"Satisfied",IF(K430&gt;=60,"Neutral","Dissatisfied")))</f>
        <v>Dissatisfied</v>
      </c>
      <c r="R430" s="8" t="str">
        <f aca="false">UPPER(LEFT(TRIM(J430),1))&amp;LOWER(MID(TRIM(J430),2,100))</f>
        <v>Silver</v>
      </c>
      <c r="S430" s="8" t="str">
        <f aca="false">IF(I430="High","Positive",IF(I430="Medium","Neutral","Negative"))</f>
        <v>Positive</v>
      </c>
      <c r="T430" s="8" t="str">
        <f aca="false">IF(AND(E430&gt;=80000,H430&gt;=15),"Premium",IF(AND(E430&gt;=50000,H430&gt;=10),"Standard","Basic"))</f>
        <v>Basic</v>
      </c>
      <c r="U430" s="8" t="str">
        <f aca="false">IF(AND(F430&gt;=7,G430&gt;=7),"High Quality Experience","Review Needed")</f>
        <v>Review Needed</v>
      </c>
      <c r="V430" s="8" t="str">
        <f aca="false">IF(H430&gt;=10,"Repeat Buyer","Occasional Buyer")</f>
        <v>Repeat Buyer</v>
      </c>
      <c r="W430" s="8" t="str">
        <f aca="false">IF(AND(K430&lt;70,I430="Low"),"At Risk","Stable")</f>
        <v>Stable</v>
      </c>
      <c r="X430" s="8" t="str">
        <f aca="false">IF(AND(K430&lt;75,I430="Low",J430="Bronze"),"Priority Followup","No Action")</f>
        <v>No Action</v>
      </c>
    </row>
    <row r="431" customFormat="false" ht="15" hidden="false" customHeight="false" outlineLevel="0" collapsed="false">
      <c r="A431" s="3" t="n">
        <v>429</v>
      </c>
      <c r="B431" s="3" t="n">
        <v>30</v>
      </c>
      <c r="C431" s="3" t="s">
        <v>17</v>
      </c>
      <c r="D431" s="3" t="s">
        <v>12</v>
      </c>
      <c r="E431" s="3" t="n">
        <v>70014</v>
      </c>
      <c r="F431" s="3" t="n">
        <v>7</v>
      </c>
      <c r="G431" s="3" t="n">
        <v>2</v>
      </c>
      <c r="H431" s="3" t="n">
        <v>3</v>
      </c>
      <c r="I431" s="3" t="s">
        <v>21</v>
      </c>
      <c r="J431" s="3" t="s">
        <v>16</v>
      </c>
      <c r="K431" s="3" t="n">
        <v>78.2</v>
      </c>
      <c r="L431" s="7" t="str">
        <f aca="false">IF(B431&lt;25,"Gen Z",IF(B431&lt;40,"Millennial",IF(B431&lt;55,"Gen X","Baby Boomer")))</f>
        <v>Millennial</v>
      </c>
      <c r="M431" s="7" t="str">
        <f aca="false">IF(E431&lt;50000,"Low Income",IF(E431&lt;80000,"Middle Income",IF(E431&lt;100000,"Upper Middle","High Income")))</f>
        <v>Middle Income</v>
      </c>
      <c r="N431" s="7" t="str">
        <f aca="false">IF(F431&lt;=3,"Poor",IF(F431&lt;=6,"Average",IF(F431&lt;=8,"Good","Excellent")))</f>
        <v>Good</v>
      </c>
      <c r="O431" s="7" t="str">
        <f aca="false">IF(G431&lt;=3,"Poor",IF(G431&lt;=6,"Average",IF(G431&lt;=8,"Good","Excellent")))</f>
        <v>Poor</v>
      </c>
      <c r="P431" s="7" t="str">
        <f aca="false">IF(H431&lt;=5,"Low Frequency",IF(H431&lt;=10,"Moderate",IF(H431&lt;=15,"High","Very High")))</f>
        <v>Low Frequency</v>
      </c>
      <c r="Q431" s="7" t="str">
        <f aca="false">IF(K431&gt;=90,"Highly Satisfied",IF(K431&gt;=75,"Satisfied",IF(K431&gt;=60,"Neutral","Dissatisfied")))</f>
        <v>Satisfied</v>
      </c>
      <c r="R431" s="7" t="str">
        <f aca="false">UPPER(LEFT(TRIM(J431),1))&amp;LOWER(MID(TRIM(J431),2,100))</f>
        <v>Gold</v>
      </c>
      <c r="S431" s="7" t="str">
        <f aca="false">IF(I431="High","Positive",IF(I431="Medium","Neutral","Negative"))</f>
        <v>Positive</v>
      </c>
      <c r="T431" s="7" t="str">
        <f aca="false">IF(AND(E431&gt;=80000,H431&gt;=15),"Premium",IF(AND(E431&gt;=50000,H431&gt;=10),"Standard","Basic"))</f>
        <v>Basic</v>
      </c>
      <c r="U431" s="7" t="str">
        <f aca="false">IF(AND(F431&gt;=7,G431&gt;=7),"High Quality Experience","Review Needed")</f>
        <v>Review Needed</v>
      </c>
      <c r="V431" s="7" t="str">
        <f aca="false">IF(H431&gt;=10,"Repeat Buyer","Occasional Buyer")</f>
        <v>Occasional Buyer</v>
      </c>
      <c r="W431" s="7" t="str">
        <f aca="false">IF(AND(K431&lt;70,I431="Low"),"At Risk","Stable")</f>
        <v>Stable</v>
      </c>
      <c r="X431" s="7" t="str">
        <f aca="false">IF(AND(K431&lt;75,I431="Low",J431="Bronze"),"Priority Followup","No Action")</f>
        <v>No Action</v>
      </c>
    </row>
    <row r="432" customFormat="false" ht="15" hidden="false" customHeight="false" outlineLevel="0" collapsed="false">
      <c r="A432" s="2" t="n">
        <v>430</v>
      </c>
      <c r="B432" s="2" t="n">
        <v>24</v>
      </c>
      <c r="C432" s="2" t="s">
        <v>11</v>
      </c>
      <c r="D432" s="2" t="s">
        <v>23</v>
      </c>
      <c r="E432" s="2" t="n">
        <v>50754</v>
      </c>
      <c r="F432" s="2" t="n">
        <v>5</v>
      </c>
      <c r="G432" s="2" t="n">
        <v>6</v>
      </c>
      <c r="H432" s="2" t="n">
        <v>17</v>
      </c>
      <c r="I432" s="2" t="s">
        <v>21</v>
      </c>
      <c r="J432" s="2" t="s">
        <v>19</v>
      </c>
      <c r="K432" s="2" t="n">
        <v>90.26</v>
      </c>
      <c r="L432" s="8" t="str">
        <f aca="false">IF(B432&lt;25,"Gen Z",IF(B432&lt;40,"Millennial",IF(B432&lt;55,"Gen X","Baby Boomer")))</f>
        <v>Gen Z</v>
      </c>
      <c r="M432" s="8" t="str">
        <f aca="false">IF(E432&lt;50000,"Low Income",IF(E432&lt;80000,"Middle Income",IF(E432&lt;100000,"Upper Middle","High Income")))</f>
        <v>Middle Income</v>
      </c>
      <c r="N432" s="8" t="str">
        <f aca="false">IF(F432&lt;=3,"Poor",IF(F432&lt;=6,"Average",IF(F432&lt;=8,"Good","Excellent")))</f>
        <v>Average</v>
      </c>
      <c r="O432" s="8" t="str">
        <f aca="false">IF(G432&lt;=3,"Poor",IF(G432&lt;=6,"Average",IF(G432&lt;=8,"Good","Excellent")))</f>
        <v>Average</v>
      </c>
      <c r="P432" s="8" t="str">
        <f aca="false">IF(H432&lt;=5,"Low Frequency",IF(H432&lt;=10,"Moderate",IF(H432&lt;=15,"High","Very High")))</f>
        <v>Very High</v>
      </c>
      <c r="Q432" s="8" t="str">
        <f aca="false">IF(K432&gt;=90,"Highly Satisfied",IF(K432&gt;=75,"Satisfied",IF(K432&gt;=60,"Neutral","Dissatisfied")))</f>
        <v>Highly Satisfied</v>
      </c>
      <c r="R432" s="8" t="str">
        <f aca="false">UPPER(LEFT(TRIM(J432),1))&amp;LOWER(MID(TRIM(J432),2,100))</f>
        <v>Silver</v>
      </c>
      <c r="S432" s="8" t="str">
        <f aca="false">IF(I432="High","Positive",IF(I432="Medium","Neutral","Negative"))</f>
        <v>Positive</v>
      </c>
      <c r="T432" s="8" t="str">
        <f aca="false">IF(AND(E432&gt;=80000,H432&gt;=15),"Premium",IF(AND(E432&gt;=50000,H432&gt;=10),"Standard","Basic"))</f>
        <v>Standard</v>
      </c>
      <c r="U432" s="8" t="str">
        <f aca="false">IF(AND(F432&gt;=7,G432&gt;=7),"High Quality Experience","Review Needed")</f>
        <v>Review Needed</v>
      </c>
      <c r="V432" s="8" t="str">
        <f aca="false">IF(H432&gt;=10,"Repeat Buyer","Occasional Buyer")</f>
        <v>Repeat Buyer</v>
      </c>
      <c r="W432" s="8" t="str">
        <f aca="false">IF(AND(K432&lt;70,I432="Low"),"At Risk","Stable")</f>
        <v>Stable</v>
      </c>
      <c r="X432" s="8" t="str">
        <f aca="false">IF(AND(K432&lt;75,I432="Low",J432="Bronze"),"Priority Followup","No Action")</f>
        <v>No Action</v>
      </c>
    </row>
    <row r="433" customFormat="false" ht="15" hidden="false" customHeight="false" outlineLevel="0" collapsed="false">
      <c r="A433" s="3" t="n">
        <v>431</v>
      </c>
      <c r="B433" s="3" t="n">
        <v>53</v>
      </c>
      <c r="C433" s="3" t="s">
        <v>11</v>
      </c>
      <c r="D433" s="3" t="s">
        <v>22</v>
      </c>
      <c r="E433" s="3" t="n">
        <v>99984</v>
      </c>
      <c r="F433" s="3" t="n">
        <v>9</v>
      </c>
      <c r="G433" s="3" t="n">
        <v>7</v>
      </c>
      <c r="H433" s="3" t="n">
        <v>1</v>
      </c>
      <c r="I433" s="3" t="s">
        <v>13</v>
      </c>
      <c r="J433" s="3" t="s">
        <v>16</v>
      </c>
      <c r="K433" s="3" t="n">
        <v>100</v>
      </c>
      <c r="L433" s="7" t="str">
        <f aca="false">IF(B433&lt;25,"Gen Z",IF(B433&lt;40,"Millennial",IF(B433&lt;55,"Gen X","Baby Boomer")))</f>
        <v>Gen X</v>
      </c>
      <c r="M433" s="7" t="str">
        <f aca="false">IF(E433&lt;50000,"Low Income",IF(E433&lt;80000,"Middle Income",IF(E433&lt;100000,"Upper Middle","High Income")))</f>
        <v>Upper Middle</v>
      </c>
      <c r="N433" s="7" t="str">
        <f aca="false">IF(F433&lt;=3,"Poor",IF(F433&lt;=6,"Average",IF(F433&lt;=8,"Good","Excellent")))</f>
        <v>Excellent</v>
      </c>
      <c r="O433" s="7" t="str">
        <f aca="false">IF(G433&lt;=3,"Poor",IF(G433&lt;=6,"Average",IF(G433&lt;=8,"Good","Excellent")))</f>
        <v>Good</v>
      </c>
      <c r="P433" s="7" t="str">
        <f aca="false">IF(H433&lt;=5,"Low Frequency",IF(H433&lt;=10,"Moderate",IF(H433&lt;=15,"High","Very High")))</f>
        <v>Low Frequency</v>
      </c>
      <c r="Q433" s="7" t="str">
        <f aca="false">IF(K433&gt;=90,"Highly Satisfied",IF(K433&gt;=75,"Satisfied",IF(K433&gt;=60,"Neutral","Dissatisfied")))</f>
        <v>Highly Satisfied</v>
      </c>
      <c r="R433" s="7" t="str">
        <f aca="false">UPPER(LEFT(TRIM(J433),1))&amp;LOWER(MID(TRIM(J433),2,100))</f>
        <v>Gold</v>
      </c>
      <c r="S433" s="7" t="str">
        <f aca="false">IF(I433="High","Positive",IF(I433="Medium","Neutral","Negative"))</f>
        <v>Negative</v>
      </c>
      <c r="T433" s="7" t="str">
        <f aca="false">IF(AND(E433&gt;=80000,H433&gt;=15),"Premium",IF(AND(E433&gt;=50000,H433&gt;=10),"Standard","Basic"))</f>
        <v>Basic</v>
      </c>
      <c r="U433" s="7" t="str">
        <f aca="false">IF(AND(F433&gt;=7,G433&gt;=7),"High Quality Experience","Review Needed")</f>
        <v>High Quality Experience</v>
      </c>
      <c r="V433" s="7" t="str">
        <f aca="false">IF(H433&gt;=10,"Repeat Buyer","Occasional Buyer")</f>
        <v>Occasional Buyer</v>
      </c>
      <c r="W433" s="7" t="str">
        <f aca="false">IF(AND(K433&lt;70,I433="Low"),"At Risk","Stable")</f>
        <v>Stable</v>
      </c>
      <c r="X433" s="7" t="str">
        <f aca="false">IF(AND(K433&lt;75,I433="Low",J433="Bronze"),"Priority Followup","No Action")</f>
        <v>No Action</v>
      </c>
    </row>
    <row r="434" customFormat="false" ht="15" hidden="false" customHeight="false" outlineLevel="0" collapsed="false">
      <c r="A434" s="2" t="n">
        <v>432</v>
      </c>
      <c r="B434" s="2" t="n">
        <v>62</v>
      </c>
      <c r="C434" s="2" t="s">
        <v>11</v>
      </c>
      <c r="D434" s="2" t="s">
        <v>20</v>
      </c>
      <c r="E434" s="2" t="n">
        <v>106758</v>
      </c>
      <c r="F434" s="2" t="n">
        <v>5</v>
      </c>
      <c r="G434" s="2" t="n">
        <v>8</v>
      </c>
      <c r="H434" s="2" t="n">
        <v>2</v>
      </c>
      <c r="I434" s="2" t="s">
        <v>21</v>
      </c>
      <c r="J434" s="2" t="s">
        <v>16</v>
      </c>
      <c r="K434" s="2" t="n">
        <v>100</v>
      </c>
      <c r="L434" s="8" t="str">
        <f aca="false">IF(B434&lt;25,"Gen Z",IF(B434&lt;40,"Millennial",IF(B434&lt;55,"Gen X","Baby Boomer")))</f>
        <v>Baby Boomer</v>
      </c>
      <c r="M434" s="8" t="str">
        <f aca="false">IF(E434&lt;50000,"Low Income",IF(E434&lt;80000,"Middle Income",IF(E434&lt;100000,"Upper Middle","High Income")))</f>
        <v>High Income</v>
      </c>
      <c r="N434" s="8" t="str">
        <f aca="false">IF(F434&lt;=3,"Poor",IF(F434&lt;=6,"Average",IF(F434&lt;=8,"Good","Excellent")))</f>
        <v>Average</v>
      </c>
      <c r="O434" s="8" t="str">
        <f aca="false">IF(G434&lt;=3,"Poor",IF(G434&lt;=6,"Average",IF(G434&lt;=8,"Good","Excellent")))</f>
        <v>Good</v>
      </c>
      <c r="P434" s="8" t="str">
        <f aca="false">IF(H434&lt;=5,"Low Frequency",IF(H434&lt;=10,"Moderate",IF(H434&lt;=15,"High","Very High")))</f>
        <v>Low Frequency</v>
      </c>
      <c r="Q434" s="8" t="str">
        <f aca="false">IF(K434&gt;=90,"Highly Satisfied",IF(K434&gt;=75,"Satisfied",IF(K434&gt;=60,"Neutral","Dissatisfied")))</f>
        <v>Highly Satisfied</v>
      </c>
      <c r="R434" s="8" t="str">
        <f aca="false">UPPER(LEFT(TRIM(J434),1))&amp;LOWER(MID(TRIM(J434),2,100))</f>
        <v>Gold</v>
      </c>
      <c r="S434" s="8" t="str">
        <f aca="false">IF(I434="High","Positive",IF(I434="Medium","Neutral","Negative"))</f>
        <v>Positive</v>
      </c>
      <c r="T434" s="8" t="str">
        <f aca="false">IF(AND(E434&gt;=80000,H434&gt;=15),"Premium",IF(AND(E434&gt;=50000,H434&gt;=10),"Standard","Basic"))</f>
        <v>Basic</v>
      </c>
      <c r="U434" s="8" t="str">
        <f aca="false">IF(AND(F434&gt;=7,G434&gt;=7),"High Quality Experience","Review Needed")</f>
        <v>Review Needed</v>
      </c>
      <c r="V434" s="8" t="str">
        <f aca="false">IF(H434&gt;=10,"Repeat Buyer","Occasional Buyer")</f>
        <v>Occasional Buyer</v>
      </c>
      <c r="W434" s="8" t="str">
        <f aca="false">IF(AND(K434&lt;70,I434="Low"),"At Risk","Stable")</f>
        <v>Stable</v>
      </c>
      <c r="X434" s="8" t="str">
        <f aca="false">IF(AND(K434&lt;75,I434="Low",J434="Bronze"),"Priority Followup","No Action")</f>
        <v>No Action</v>
      </c>
    </row>
    <row r="435" customFormat="false" ht="15" hidden="false" customHeight="false" outlineLevel="0" collapsed="false">
      <c r="A435" s="3" t="n">
        <v>433</v>
      </c>
      <c r="B435" s="3" t="n">
        <v>37</v>
      </c>
      <c r="C435" s="3" t="s">
        <v>17</v>
      </c>
      <c r="D435" s="3" t="s">
        <v>20</v>
      </c>
      <c r="E435" s="3" t="n">
        <v>47627</v>
      </c>
      <c r="F435" s="3" t="n">
        <v>2</v>
      </c>
      <c r="G435" s="3" t="n">
        <v>1</v>
      </c>
      <c r="H435" s="3" t="n">
        <v>8</v>
      </c>
      <c r="I435" s="3" t="s">
        <v>21</v>
      </c>
      <c r="J435" s="3" t="s">
        <v>19</v>
      </c>
      <c r="K435" s="3" t="n">
        <v>39.85</v>
      </c>
      <c r="L435" s="7" t="str">
        <f aca="false">IF(B435&lt;25,"Gen Z",IF(B435&lt;40,"Millennial",IF(B435&lt;55,"Gen X","Baby Boomer")))</f>
        <v>Millennial</v>
      </c>
      <c r="M435" s="7" t="str">
        <f aca="false">IF(E435&lt;50000,"Low Income",IF(E435&lt;80000,"Middle Income",IF(E435&lt;100000,"Upper Middle","High Income")))</f>
        <v>Low Income</v>
      </c>
      <c r="N435" s="7" t="str">
        <f aca="false">IF(F435&lt;=3,"Poor",IF(F435&lt;=6,"Average",IF(F435&lt;=8,"Good","Excellent")))</f>
        <v>Poor</v>
      </c>
      <c r="O435" s="7" t="str">
        <f aca="false">IF(G435&lt;=3,"Poor",IF(G435&lt;=6,"Average",IF(G435&lt;=8,"Good","Excellent")))</f>
        <v>Poor</v>
      </c>
      <c r="P435" s="7" t="str">
        <f aca="false">IF(H435&lt;=5,"Low Frequency",IF(H435&lt;=10,"Moderate",IF(H435&lt;=15,"High","Very High")))</f>
        <v>Moderate</v>
      </c>
      <c r="Q435" s="7" t="str">
        <f aca="false">IF(K435&gt;=90,"Highly Satisfied",IF(K435&gt;=75,"Satisfied",IF(K435&gt;=60,"Neutral","Dissatisfied")))</f>
        <v>Dissatisfied</v>
      </c>
      <c r="R435" s="7" t="str">
        <f aca="false">UPPER(LEFT(TRIM(J435),1))&amp;LOWER(MID(TRIM(J435),2,100))</f>
        <v>Silver</v>
      </c>
      <c r="S435" s="7" t="str">
        <f aca="false">IF(I435="High","Positive",IF(I435="Medium","Neutral","Negative"))</f>
        <v>Positive</v>
      </c>
      <c r="T435" s="7" t="str">
        <f aca="false">IF(AND(E435&gt;=80000,H435&gt;=15),"Premium",IF(AND(E435&gt;=50000,H435&gt;=10),"Standard","Basic"))</f>
        <v>Basic</v>
      </c>
      <c r="U435" s="7" t="str">
        <f aca="false">IF(AND(F435&gt;=7,G435&gt;=7),"High Quality Experience","Review Needed")</f>
        <v>Review Needed</v>
      </c>
      <c r="V435" s="7" t="str">
        <f aca="false">IF(H435&gt;=10,"Repeat Buyer","Occasional Buyer")</f>
        <v>Occasional Buyer</v>
      </c>
      <c r="W435" s="7" t="str">
        <f aca="false">IF(AND(K435&lt;70,I435="Low"),"At Risk","Stable")</f>
        <v>Stable</v>
      </c>
      <c r="X435" s="7" t="str">
        <f aca="false">IF(AND(K435&lt;75,I435="Low",J435="Bronze"),"Priority Followup","No Action")</f>
        <v>No Action</v>
      </c>
    </row>
    <row r="436" customFormat="false" ht="15" hidden="false" customHeight="false" outlineLevel="0" collapsed="false">
      <c r="A436" s="2" t="n">
        <v>434</v>
      </c>
      <c r="B436" s="2" t="n">
        <v>18</v>
      </c>
      <c r="C436" s="2" t="s">
        <v>17</v>
      </c>
      <c r="D436" s="2" t="s">
        <v>18</v>
      </c>
      <c r="E436" s="2" t="n">
        <v>82483</v>
      </c>
      <c r="F436" s="2" t="n">
        <v>5</v>
      </c>
      <c r="G436" s="2" t="n">
        <v>3</v>
      </c>
      <c r="H436" s="2" t="n">
        <v>11</v>
      </c>
      <c r="I436" s="2" t="s">
        <v>13</v>
      </c>
      <c r="J436" s="2" t="s">
        <v>16</v>
      </c>
      <c r="K436" s="2" t="n">
        <v>66.55</v>
      </c>
      <c r="L436" s="8" t="str">
        <f aca="false">IF(B436&lt;25,"Gen Z",IF(B436&lt;40,"Millennial",IF(B436&lt;55,"Gen X","Baby Boomer")))</f>
        <v>Gen Z</v>
      </c>
      <c r="M436" s="8" t="str">
        <f aca="false">IF(E436&lt;50000,"Low Income",IF(E436&lt;80000,"Middle Income",IF(E436&lt;100000,"Upper Middle","High Income")))</f>
        <v>Upper Middle</v>
      </c>
      <c r="N436" s="8" t="str">
        <f aca="false">IF(F436&lt;=3,"Poor",IF(F436&lt;=6,"Average",IF(F436&lt;=8,"Good","Excellent")))</f>
        <v>Average</v>
      </c>
      <c r="O436" s="8" t="str">
        <f aca="false">IF(G436&lt;=3,"Poor",IF(G436&lt;=6,"Average",IF(G436&lt;=8,"Good","Excellent")))</f>
        <v>Poor</v>
      </c>
      <c r="P436" s="8" t="str">
        <f aca="false">IF(H436&lt;=5,"Low Frequency",IF(H436&lt;=10,"Moderate",IF(H436&lt;=15,"High","Very High")))</f>
        <v>High</v>
      </c>
      <c r="Q436" s="8" t="str">
        <f aca="false">IF(K436&gt;=90,"Highly Satisfied",IF(K436&gt;=75,"Satisfied",IF(K436&gt;=60,"Neutral","Dissatisfied")))</f>
        <v>Neutral</v>
      </c>
      <c r="R436" s="8" t="str">
        <f aca="false">UPPER(LEFT(TRIM(J436),1))&amp;LOWER(MID(TRIM(J436),2,100))</f>
        <v>Gold</v>
      </c>
      <c r="S436" s="8" t="str">
        <f aca="false">IF(I436="High","Positive",IF(I436="Medium","Neutral","Negative"))</f>
        <v>Negative</v>
      </c>
      <c r="T436" s="8" t="str">
        <f aca="false">IF(AND(E436&gt;=80000,H436&gt;=15),"Premium",IF(AND(E436&gt;=50000,H436&gt;=10),"Standard","Basic"))</f>
        <v>Standard</v>
      </c>
      <c r="U436" s="8" t="str">
        <f aca="false">IF(AND(F436&gt;=7,G436&gt;=7),"High Quality Experience","Review Needed")</f>
        <v>Review Needed</v>
      </c>
      <c r="V436" s="8" t="str">
        <f aca="false">IF(H436&gt;=10,"Repeat Buyer","Occasional Buyer")</f>
        <v>Repeat Buyer</v>
      </c>
      <c r="W436" s="8" t="str">
        <f aca="false">IF(AND(K436&lt;70,I436="Low"),"At Risk","Stable")</f>
        <v>At Risk</v>
      </c>
      <c r="X436" s="8" t="str">
        <f aca="false">IF(AND(K436&lt;75,I436="Low",J436="Bronze"),"Priority Followup","No Action")</f>
        <v>No Action</v>
      </c>
    </row>
    <row r="437" customFormat="false" ht="15" hidden="false" customHeight="false" outlineLevel="0" collapsed="false">
      <c r="A437" s="3" t="n">
        <v>435</v>
      </c>
      <c r="B437" s="3" t="n">
        <v>25</v>
      </c>
      <c r="C437" s="3" t="s">
        <v>17</v>
      </c>
      <c r="D437" s="3" t="s">
        <v>22</v>
      </c>
      <c r="E437" s="3" t="n">
        <v>82014</v>
      </c>
      <c r="F437" s="3" t="n">
        <v>9</v>
      </c>
      <c r="G437" s="3" t="n">
        <v>10</v>
      </c>
      <c r="H437" s="3" t="n">
        <v>8</v>
      </c>
      <c r="I437" s="3" t="s">
        <v>21</v>
      </c>
      <c r="J437" s="3" t="s">
        <v>16</v>
      </c>
      <c r="K437" s="3" t="n">
        <v>100</v>
      </c>
      <c r="L437" s="7" t="str">
        <f aca="false">IF(B437&lt;25,"Gen Z",IF(B437&lt;40,"Millennial",IF(B437&lt;55,"Gen X","Baby Boomer")))</f>
        <v>Millennial</v>
      </c>
      <c r="M437" s="7" t="str">
        <f aca="false">IF(E437&lt;50000,"Low Income",IF(E437&lt;80000,"Middle Income",IF(E437&lt;100000,"Upper Middle","High Income")))</f>
        <v>Upper Middle</v>
      </c>
      <c r="N437" s="7" t="str">
        <f aca="false">IF(F437&lt;=3,"Poor",IF(F437&lt;=6,"Average",IF(F437&lt;=8,"Good","Excellent")))</f>
        <v>Excellent</v>
      </c>
      <c r="O437" s="7" t="str">
        <f aca="false">IF(G437&lt;=3,"Poor",IF(G437&lt;=6,"Average",IF(G437&lt;=8,"Good","Excellent")))</f>
        <v>Excellent</v>
      </c>
      <c r="P437" s="7" t="str">
        <f aca="false">IF(H437&lt;=5,"Low Frequency",IF(H437&lt;=10,"Moderate",IF(H437&lt;=15,"High","Very High")))</f>
        <v>Moderate</v>
      </c>
      <c r="Q437" s="7" t="str">
        <f aca="false">IF(K437&gt;=90,"Highly Satisfied",IF(K437&gt;=75,"Satisfied",IF(K437&gt;=60,"Neutral","Dissatisfied")))</f>
        <v>Highly Satisfied</v>
      </c>
      <c r="R437" s="7" t="str">
        <f aca="false">UPPER(LEFT(TRIM(J437),1))&amp;LOWER(MID(TRIM(J437),2,100))</f>
        <v>Gold</v>
      </c>
      <c r="S437" s="7" t="str">
        <f aca="false">IF(I437="High","Positive",IF(I437="Medium","Neutral","Negative"))</f>
        <v>Positive</v>
      </c>
      <c r="T437" s="7" t="str">
        <f aca="false">IF(AND(E437&gt;=80000,H437&gt;=15),"Premium",IF(AND(E437&gt;=50000,H437&gt;=10),"Standard","Basic"))</f>
        <v>Basic</v>
      </c>
      <c r="U437" s="7" t="str">
        <f aca="false">IF(AND(F437&gt;=7,G437&gt;=7),"High Quality Experience","Review Needed")</f>
        <v>High Quality Experience</v>
      </c>
      <c r="V437" s="7" t="str">
        <f aca="false">IF(H437&gt;=10,"Repeat Buyer","Occasional Buyer")</f>
        <v>Occasional Buyer</v>
      </c>
      <c r="W437" s="7" t="str">
        <f aca="false">IF(AND(K437&lt;70,I437="Low"),"At Risk","Stable")</f>
        <v>Stable</v>
      </c>
      <c r="X437" s="7" t="str">
        <f aca="false">IF(AND(K437&lt;75,I437="Low",J437="Bronze"),"Priority Followup","No Action")</f>
        <v>No Action</v>
      </c>
    </row>
    <row r="438" customFormat="false" ht="15" hidden="false" customHeight="false" outlineLevel="0" collapsed="false">
      <c r="A438" s="2" t="n">
        <v>436</v>
      </c>
      <c r="B438" s="2" t="n">
        <v>63</v>
      </c>
      <c r="C438" s="2" t="s">
        <v>17</v>
      </c>
      <c r="D438" s="2" t="s">
        <v>18</v>
      </c>
      <c r="E438" s="2" t="n">
        <v>118478</v>
      </c>
      <c r="F438" s="2" t="n">
        <v>1</v>
      </c>
      <c r="G438" s="2" t="n">
        <v>4</v>
      </c>
      <c r="H438" s="2" t="n">
        <v>10</v>
      </c>
      <c r="I438" s="2" t="s">
        <v>15</v>
      </c>
      <c r="J438" s="2" t="s">
        <v>16</v>
      </c>
      <c r="K438" s="2" t="n">
        <v>72.55</v>
      </c>
      <c r="L438" s="8" t="str">
        <f aca="false">IF(B438&lt;25,"Gen Z",IF(B438&lt;40,"Millennial",IF(B438&lt;55,"Gen X","Baby Boomer")))</f>
        <v>Baby Boomer</v>
      </c>
      <c r="M438" s="8" t="str">
        <f aca="false">IF(E438&lt;50000,"Low Income",IF(E438&lt;80000,"Middle Income",IF(E438&lt;100000,"Upper Middle","High Income")))</f>
        <v>High Income</v>
      </c>
      <c r="N438" s="8" t="str">
        <f aca="false">IF(F438&lt;=3,"Poor",IF(F438&lt;=6,"Average",IF(F438&lt;=8,"Good","Excellent")))</f>
        <v>Poor</v>
      </c>
      <c r="O438" s="8" t="str">
        <f aca="false">IF(G438&lt;=3,"Poor",IF(G438&lt;=6,"Average",IF(G438&lt;=8,"Good","Excellent")))</f>
        <v>Average</v>
      </c>
      <c r="P438" s="8" t="str">
        <f aca="false">IF(H438&lt;=5,"Low Frequency",IF(H438&lt;=10,"Moderate",IF(H438&lt;=15,"High","Very High")))</f>
        <v>Moderate</v>
      </c>
      <c r="Q438" s="8" t="str">
        <f aca="false">IF(K438&gt;=90,"Highly Satisfied",IF(K438&gt;=75,"Satisfied",IF(K438&gt;=60,"Neutral","Dissatisfied")))</f>
        <v>Neutral</v>
      </c>
      <c r="R438" s="8" t="str">
        <f aca="false">UPPER(LEFT(TRIM(J438),1))&amp;LOWER(MID(TRIM(J438),2,100))</f>
        <v>Gold</v>
      </c>
      <c r="S438" s="8" t="str">
        <f aca="false">IF(I438="High","Positive",IF(I438="Medium","Neutral","Negative"))</f>
        <v>Neutral</v>
      </c>
      <c r="T438" s="8" t="str">
        <f aca="false">IF(AND(E438&gt;=80000,H438&gt;=15),"Premium",IF(AND(E438&gt;=50000,H438&gt;=10),"Standard","Basic"))</f>
        <v>Standard</v>
      </c>
      <c r="U438" s="8" t="str">
        <f aca="false">IF(AND(F438&gt;=7,G438&gt;=7),"High Quality Experience","Review Needed")</f>
        <v>Review Needed</v>
      </c>
      <c r="V438" s="8" t="str">
        <f aca="false">IF(H438&gt;=10,"Repeat Buyer","Occasional Buyer")</f>
        <v>Repeat Buyer</v>
      </c>
      <c r="W438" s="8" t="str">
        <f aca="false">IF(AND(K438&lt;70,I438="Low"),"At Risk","Stable")</f>
        <v>Stable</v>
      </c>
      <c r="X438" s="8" t="str">
        <f aca="false">IF(AND(K438&lt;75,I438="Low",J438="Bronze"),"Priority Followup","No Action")</f>
        <v>No Action</v>
      </c>
    </row>
    <row r="439" customFormat="false" ht="15" hidden="false" customHeight="false" outlineLevel="0" collapsed="false">
      <c r="A439" s="3" t="n">
        <v>437</v>
      </c>
      <c r="B439" s="3" t="n">
        <v>33</v>
      </c>
      <c r="C439" s="3" t="s">
        <v>11</v>
      </c>
      <c r="D439" s="3" t="s">
        <v>18</v>
      </c>
      <c r="E439" s="3" t="n">
        <v>104116</v>
      </c>
      <c r="F439" s="3" t="n">
        <v>7</v>
      </c>
      <c r="G439" s="3" t="n">
        <v>8</v>
      </c>
      <c r="H439" s="3" t="n">
        <v>1</v>
      </c>
      <c r="I439" s="3" t="s">
        <v>13</v>
      </c>
      <c r="J439" s="3" t="s">
        <v>19</v>
      </c>
      <c r="K439" s="3" t="n">
        <v>100</v>
      </c>
      <c r="L439" s="7" t="str">
        <f aca="false">IF(B439&lt;25,"Gen Z",IF(B439&lt;40,"Millennial",IF(B439&lt;55,"Gen X","Baby Boomer")))</f>
        <v>Millennial</v>
      </c>
      <c r="M439" s="7" t="str">
        <f aca="false">IF(E439&lt;50000,"Low Income",IF(E439&lt;80000,"Middle Income",IF(E439&lt;100000,"Upper Middle","High Income")))</f>
        <v>High Income</v>
      </c>
      <c r="N439" s="7" t="str">
        <f aca="false">IF(F439&lt;=3,"Poor",IF(F439&lt;=6,"Average",IF(F439&lt;=8,"Good","Excellent")))</f>
        <v>Good</v>
      </c>
      <c r="O439" s="7" t="str">
        <f aca="false">IF(G439&lt;=3,"Poor",IF(G439&lt;=6,"Average",IF(G439&lt;=8,"Good","Excellent")))</f>
        <v>Good</v>
      </c>
      <c r="P439" s="7" t="str">
        <f aca="false">IF(H439&lt;=5,"Low Frequency",IF(H439&lt;=10,"Moderate",IF(H439&lt;=15,"High","Very High")))</f>
        <v>Low Frequency</v>
      </c>
      <c r="Q439" s="7" t="str">
        <f aca="false">IF(K439&gt;=90,"Highly Satisfied",IF(K439&gt;=75,"Satisfied",IF(K439&gt;=60,"Neutral","Dissatisfied")))</f>
        <v>Highly Satisfied</v>
      </c>
      <c r="R439" s="7" t="str">
        <f aca="false">UPPER(LEFT(TRIM(J439),1))&amp;LOWER(MID(TRIM(J439),2,100))</f>
        <v>Silver</v>
      </c>
      <c r="S439" s="7" t="str">
        <f aca="false">IF(I439="High","Positive",IF(I439="Medium","Neutral","Negative"))</f>
        <v>Negative</v>
      </c>
      <c r="T439" s="7" t="str">
        <f aca="false">IF(AND(E439&gt;=80000,H439&gt;=15),"Premium",IF(AND(E439&gt;=50000,H439&gt;=10),"Standard","Basic"))</f>
        <v>Basic</v>
      </c>
      <c r="U439" s="7" t="str">
        <f aca="false">IF(AND(F439&gt;=7,G439&gt;=7),"High Quality Experience","Review Needed")</f>
        <v>High Quality Experience</v>
      </c>
      <c r="V439" s="7" t="str">
        <f aca="false">IF(H439&gt;=10,"Repeat Buyer","Occasional Buyer")</f>
        <v>Occasional Buyer</v>
      </c>
      <c r="W439" s="7" t="str">
        <f aca="false">IF(AND(K439&lt;70,I439="Low"),"At Risk","Stable")</f>
        <v>Stable</v>
      </c>
      <c r="X439" s="7" t="str">
        <f aca="false">IF(AND(K439&lt;75,I439="Low",J439="Bronze"),"Priority Followup","No Action")</f>
        <v>No Action</v>
      </c>
    </row>
    <row r="440" customFormat="false" ht="15" hidden="false" customHeight="false" outlineLevel="0" collapsed="false">
      <c r="A440" s="2" t="n">
        <v>438</v>
      </c>
      <c r="B440" s="2" t="n">
        <v>31</v>
      </c>
      <c r="C440" s="2" t="s">
        <v>11</v>
      </c>
      <c r="D440" s="2" t="s">
        <v>12</v>
      </c>
      <c r="E440" s="2" t="n">
        <v>35408</v>
      </c>
      <c r="F440" s="2" t="n">
        <v>3</v>
      </c>
      <c r="G440" s="2" t="n">
        <v>10</v>
      </c>
      <c r="H440" s="2" t="n">
        <v>5</v>
      </c>
      <c r="I440" s="2" t="s">
        <v>15</v>
      </c>
      <c r="J440" s="2" t="s">
        <v>19</v>
      </c>
      <c r="K440" s="2" t="n">
        <v>86.35</v>
      </c>
      <c r="L440" s="8" t="str">
        <f aca="false">IF(B440&lt;25,"Gen Z",IF(B440&lt;40,"Millennial",IF(B440&lt;55,"Gen X","Baby Boomer")))</f>
        <v>Millennial</v>
      </c>
      <c r="M440" s="8" t="str">
        <f aca="false">IF(E440&lt;50000,"Low Income",IF(E440&lt;80000,"Middle Income",IF(E440&lt;100000,"Upper Middle","High Income")))</f>
        <v>Low Income</v>
      </c>
      <c r="N440" s="8" t="str">
        <f aca="false">IF(F440&lt;=3,"Poor",IF(F440&lt;=6,"Average",IF(F440&lt;=8,"Good","Excellent")))</f>
        <v>Poor</v>
      </c>
      <c r="O440" s="8" t="str">
        <f aca="false">IF(G440&lt;=3,"Poor",IF(G440&lt;=6,"Average",IF(G440&lt;=8,"Good","Excellent")))</f>
        <v>Excellent</v>
      </c>
      <c r="P440" s="8" t="str">
        <f aca="false">IF(H440&lt;=5,"Low Frequency",IF(H440&lt;=10,"Moderate",IF(H440&lt;=15,"High","Very High")))</f>
        <v>Low Frequency</v>
      </c>
      <c r="Q440" s="8" t="str">
        <f aca="false">IF(K440&gt;=90,"Highly Satisfied",IF(K440&gt;=75,"Satisfied",IF(K440&gt;=60,"Neutral","Dissatisfied")))</f>
        <v>Satisfied</v>
      </c>
      <c r="R440" s="8" t="str">
        <f aca="false">UPPER(LEFT(TRIM(J440),1))&amp;LOWER(MID(TRIM(J440),2,100))</f>
        <v>Silver</v>
      </c>
      <c r="S440" s="8" t="str">
        <f aca="false">IF(I440="High","Positive",IF(I440="Medium","Neutral","Negative"))</f>
        <v>Neutral</v>
      </c>
      <c r="T440" s="8" t="str">
        <f aca="false">IF(AND(E440&gt;=80000,H440&gt;=15),"Premium",IF(AND(E440&gt;=50000,H440&gt;=10),"Standard","Basic"))</f>
        <v>Basic</v>
      </c>
      <c r="U440" s="8" t="str">
        <f aca="false">IF(AND(F440&gt;=7,G440&gt;=7),"High Quality Experience","Review Needed")</f>
        <v>Review Needed</v>
      </c>
      <c r="V440" s="8" t="str">
        <f aca="false">IF(H440&gt;=10,"Repeat Buyer","Occasional Buyer")</f>
        <v>Occasional Buyer</v>
      </c>
      <c r="W440" s="8" t="str">
        <f aca="false">IF(AND(K440&lt;70,I440="Low"),"At Risk","Stable")</f>
        <v>Stable</v>
      </c>
      <c r="X440" s="8" t="str">
        <f aca="false">IF(AND(K440&lt;75,I440="Low",J440="Bronze"),"Priority Followup","No Action")</f>
        <v>No Action</v>
      </c>
    </row>
    <row r="441" customFormat="false" ht="15" hidden="false" customHeight="false" outlineLevel="0" collapsed="false">
      <c r="A441" s="3" t="n">
        <v>439</v>
      </c>
      <c r="B441" s="3" t="n">
        <v>29</v>
      </c>
      <c r="C441" s="3" t="s">
        <v>11</v>
      </c>
      <c r="D441" s="3" t="s">
        <v>18</v>
      </c>
      <c r="E441" s="3" t="n">
        <v>82527</v>
      </c>
      <c r="F441" s="3" t="n">
        <v>10</v>
      </c>
      <c r="G441" s="3" t="n">
        <v>10</v>
      </c>
      <c r="H441" s="3" t="n">
        <v>6</v>
      </c>
      <c r="I441" s="3" t="s">
        <v>13</v>
      </c>
      <c r="J441" s="3" t="s">
        <v>19</v>
      </c>
      <c r="K441" s="3" t="n">
        <v>100</v>
      </c>
      <c r="L441" s="7" t="str">
        <f aca="false">IF(B441&lt;25,"Gen Z",IF(B441&lt;40,"Millennial",IF(B441&lt;55,"Gen X","Baby Boomer")))</f>
        <v>Millennial</v>
      </c>
      <c r="M441" s="7" t="str">
        <f aca="false">IF(E441&lt;50000,"Low Income",IF(E441&lt;80000,"Middle Income",IF(E441&lt;100000,"Upper Middle","High Income")))</f>
        <v>Upper Middle</v>
      </c>
      <c r="N441" s="7" t="str">
        <f aca="false">IF(F441&lt;=3,"Poor",IF(F441&lt;=6,"Average",IF(F441&lt;=8,"Good","Excellent")))</f>
        <v>Excellent</v>
      </c>
      <c r="O441" s="7" t="str">
        <f aca="false">IF(G441&lt;=3,"Poor",IF(G441&lt;=6,"Average",IF(G441&lt;=8,"Good","Excellent")))</f>
        <v>Excellent</v>
      </c>
      <c r="P441" s="7" t="str">
        <f aca="false">IF(H441&lt;=5,"Low Frequency",IF(H441&lt;=10,"Moderate",IF(H441&lt;=15,"High","Very High")))</f>
        <v>Moderate</v>
      </c>
      <c r="Q441" s="7" t="str">
        <f aca="false">IF(K441&gt;=90,"Highly Satisfied",IF(K441&gt;=75,"Satisfied",IF(K441&gt;=60,"Neutral","Dissatisfied")))</f>
        <v>Highly Satisfied</v>
      </c>
      <c r="R441" s="7" t="str">
        <f aca="false">UPPER(LEFT(TRIM(J441),1))&amp;LOWER(MID(TRIM(J441),2,100))</f>
        <v>Silver</v>
      </c>
      <c r="S441" s="7" t="str">
        <f aca="false">IF(I441="High","Positive",IF(I441="Medium","Neutral","Negative"))</f>
        <v>Negative</v>
      </c>
      <c r="T441" s="7" t="str">
        <f aca="false">IF(AND(E441&gt;=80000,H441&gt;=15),"Premium",IF(AND(E441&gt;=50000,H441&gt;=10),"Standard","Basic"))</f>
        <v>Basic</v>
      </c>
      <c r="U441" s="7" t="str">
        <f aca="false">IF(AND(F441&gt;=7,G441&gt;=7),"High Quality Experience","Review Needed")</f>
        <v>High Quality Experience</v>
      </c>
      <c r="V441" s="7" t="str">
        <f aca="false">IF(H441&gt;=10,"Repeat Buyer","Occasional Buyer")</f>
        <v>Occasional Buyer</v>
      </c>
      <c r="W441" s="7" t="str">
        <f aca="false">IF(AND(K441&lt;70,I441="Low"),"At Risk","Stable")</f>
        <v>Stable</v>
      </c>
      <c r="X441" s="7" t="str">
        <f aca="false">IF(AND(K441&lt;75,I441="Low",J441="Bronze"),"Priority Followup","No Action")</f>
        <v>No Action</v>
      </c>
    </row>
    <row r="442" customFormat="false" ht="15" hidden="false" customHeight="false" outlineLevel="0" collapsed="false">
      <c r="A442" s="2" t="n">
        <v>440</v>
      </c>
      <c r="B442" s="2" t="n">
        <v>68</v>
      </c>
      <c r="C442" s="2" t="s">
        <v>17</v>
      </c>
      <c r="D442" s="2" t="s">
        <v>20</v>
      </c>
      <c r="E442" s="2" t="n">
        <v>109855</v>
      </c>
      <c r="F442" s="2" t="n">
        <v>4</v>
      </c>
      <c r="G442" s="2" t="n">
        <v>2</v>
      </c>
      <c r="H442" s="2" t="n">
        <v>20</v>
      </c>
      <c r="I442" s="2" t="s">
        <v>21</v>
      </c>
      <c r="J442" s="2" t="s">
        <v>19</v>
      </c>
      <c r="K442" s="2" t="n">
        <v>82.67</v>
      </c>
      <c r="L442" s="8" t="str">
        <f aca="false">IF(B442&lt;25,"Gen Z",IF(B442&lt;40,"Millennial",IF(B442&lt;55,"Gen X","Baby Boomer")))</f>
        <v>Baby Boomer</v>
      </c>
      <c r="M442" s="8" t="str">
        <f aca="false">IF(E442&lt;50000,"Low Income",IF(E442&lt;80000,"Middle Income",IF(E442&lt;100000,"Upper Middle","High Income")))</f>
        <v>High Income</v>
      </c>
      <c r="N442" s="8" t="str">
        <f aca="false">IF(F442&lt;=3,"Poor",IF(F442&lt;=6,"Average",IF(F442&lt;=8,"Good","Excellent")))</f>
        <v>Average</v>
      </c>
      <c r="O442" s="8" t="str">
        <f aca="false">IF(G442&lt;=3,"Poor",IF(G442&lt;=6,"Average",IF(G442&lt;=8,"Good","Excellent")))</f>
        <v>Poor</v>
      </c>
      <c r="P442" s="8" t="str">
        <f aca="false">IF(H442&lt;=5,"Low Frequency",IF(H442&lt;=10,"Moderate",IF(H442&lt;=15,"High","Very High")))</f>
        <v>Very High</v>
      </c>
      <c r="Q442" s="8" t="str">
        <f aca="false">IF(K442&gt;=90,"Highly Satisfied",IF(K442&gt;=75,"Satisfied",IF(K442&gt;=60,"Neutral","Dissatisfied")))</f>
        <v>Satisfied</v>
      </c>
      <c r="R442" s="8" t="str">
        <f aca="false">UPPER(LEFT(TRIM(J442),1))&amp;LOWER(MID(TRIM(J442),2,100))</f>
        <v>Silver</v>
      </c>
      <c r="S442" s="8" t="str">
        <f aca="false">IF(I442="High","Positive",IF(I442="Medium","Neutral","Negative"))</f>
        <v>Positive</v>
      </c>
      <c r="T442" s="8" t="str">
        <f aca="false">IF(AND(E442&gt;=80000,H442&gt;=15),"Premium",IF(AND(E442&gt;=50000,H442&gt;=10),"Standard","Basic"))</f>
        <v>Premium</v>
      </c>
      <c r="U442" s="8" t="str">
        <f aca="false">IF(AND(F442&gt;=7,G442&gt;=7),"High Quality Experience","Review Needed")</f>
        <v>Review Needed</v>
      </c>
      <c r="V442" s="8" t="str">
        <f aca="false">IF(H442&gt;=10,"Repeat Buyer","Occasional Buyer")</f>
        <v>Repeat Buyer</v>
      </c>
      <c r="W442" s="8" t="str">
        <f aca="false">IF(AND(K442&lt;70,I442="Low"),"At Risk","Stable")</f>
        <v>Stable</v>
      </c>
      <c r="X442" s="8" t="str">
        <f aca="false">IF(AND(K442&lt;75,I442="Low",J442="Bronze"),"Priority Followup","No Action")</f>
        <v>No Action</v>
      </c>
    </row>
    <row r="443" customFormat="false" ht="15" hidden="false" customHeight="false" outlineLevel="0" collapsed="false">
      <c r="A443" s="3" t="n">
        <v>441</v>
      </c>
      <c r="B443" s="3" t="n">
        <v>40</v>
      </c>
      <c r="C443" s="3" t="s">
        <v>17</v>
      </c>
      <c r="D443" s="3" t="s">
        <v>18</v>
      </c>
      <c r="E443" s="3" t="n">
        <v>101610</v>
      </c>
      <c r="F443" s="3" t="n">
        <v>4</v>
      </c>
      <c r="G443" s="3" t="n">
        <v>10</v>
      </c>
      <c r="H443" s="3" t="n">
        <v>13</v>
      </c>
      <c r="I443" s="3" t="s">
        <v>13</v>
      </c>
      <c r="J443" s="3" t="s">
        <v>16</v>
      </c>
      <c r="K443" s="3" t="n">
        <v>100</v>
      </c>
      <c r="L443" s="7" t="str">
        <f aca="false">IF(B443&lt;25,"Gen Z",IF(B443&lt;40,"Millennial",IF(B443&lt;55,"Gen X","Baby Boomer")))</f>
        <v>Gen X</v>
      </c>
      <c r="M443" s="7" t="str">
        <f aca="false">IF(E443&lt;50000,"Low Income",IF(E443&lt;80000,"Middle Income",IF(E443&lt;100000,"Upper Middle","High Income")))</f>
        <v>High Income</v>
      </c>
      <c r="N443" s="7" t="str">
        <f aca="false">IF(F443&lt;=3,"Poor",IF(F443&lt;=6,"Average",IF(F443&lt;=8,"Good","Excellent")))</f>
        <v>Average</v>
      </c>
      <c r="O443" s="7" t="str">
        <f aca="false">IF(G443&lt;=3,"Poor",IF(G443&lt;=6,"Average",IF(G443&lt;=8,"Good","Excellent")))</f>
        <v>Excellent</v>
      </c>
      <c r="P443" s="7" t="str">
        <f aca="false">IF(H443&lt;=5,"Low Frequency",IF(H443&lt;=10,"Moderate",IF(H443&lt;=15,"High","Very High")))</f>
        <v>High</v>
      </c>
      <c r="Q443" s="7" t="str">
        <f aca="false">IF(K443&gt;=90,"Highly Satisfied",IF(K443&gt;=75,"Satisfied",IF(K443&gt;=60,"Neutral","Dissatisfied")))</f>
        <v>Highly Satisfied</v>
      </c>
      <c r="R443" s="7" t="str">
        <f aca="false">UPPER(LEFT(TRIM(J443),1))&amp;LOWER(MID(TRIM(J443),2,100))</f>
        <v>Gold</v>
      </c>
      <c r="S443" s="7" t="str">
        <f aca="false">IF(I443="High","Positive",IF(I443="Medium","Neutral","Negative"))</f>
        <v>Negative</v>
      </c>
      <c r="T443" s="7" t="str">
        <f aca="false">IF(AND(E443&gt;=80000,H443&gt;=15),"Premium",IF(AND(E443&gt;=50000,H443&gt;=10),"Standard","Basic"))</f>
        <v>Standard</v>
      </c>
      <c r="U443" s="7" t="str">
        <f aca="false">IF(AND(F443&gt;=7,G443&gt;=7),"High Quality Experience","Review Needed")</f>
        <v>Review Needed</v>
      </c>
      <c r="V443" s="7" t="str">
        <f aca="false">IF(H443&gt;=10,"Repeat Buyer","Occasional Buyer")</f>
        <v>Repeat Buyer</v>
      </c>
      <c r="W443" s="7" t="str">
        <f aca="false">IF(AND(K443&lt;70,I443="Low"),"At Risk","Stable")</f>
        <v>Stable</v>
      </c>
      <c r="X443" s="7" t="str">
        <f aca="false">IF(AND(K443&lt;75,I443="Low",J443="Bronze"),"Priority Followup","No Action")</f>
        <v>No Action</v>
      </c>
    </row>
    <row r="444" customFormat="false" ht="15" hidden="false" customHeight="false" outlineLevel="0" collapsed="false">
      <c r="A444" s="2" t="n">
        <v>442</v>
      </c>
      <c r="B444" s="2" t="n">
        <v>32</v>
      </c>
      <c r="C444" s="2" t="s">
        <v>11</v>
      </c>
      <c r="D444" s="2" t="s">
        <v>23</v>
      </c>
      <c r="E444" s="2" t="n">
        <v>107025</v>
      </c>
      <c r="F444" s="2" t="n">
        <v>10</v>
      </c>
      <c r="G444" s="2" t="n">
        <v>6</v>
      </c>
      <c r="H444" s="2" t="n">
        <v>5</v>
      </c>
      <c r="I444" s="2" t="s">
        <v>13</v>
      </c>
      <c r="J444" s="2" t="s">
        <v>14</v>
      </c>
      <c r="K444" s="2" t="n">
        <v>100</v>
      </c>
      <c r="L444" s="8" t="str">
        <f aca="false">IF(B444&lt;25,"Gen Z",IF(B444&lt;40,"Millennial",IF(B444&lt;55,"Gen X","Baby Boomer")))</f>
        <v>Millennial</v>
      </c>
      <c r="M444" s="8" t="str">
        <f aca="false">IF(E444&lt;50000,"Low Income",IF(E444&lt;80000,"Middle Income",IF(E444&lt;100000,"Upper Middle","High Income")))</f>
        <v>High Income</v>
      </c>
      <c r="N444" s="8" t="str">
        <f aca="false">IF(F444&lt;=3,"Poor",IF(F444&lt;=6,"Average",IF(F444&lt;=8,"Good","Excellent")))</f>
        <v>Excellent</v>
      </c>
      <c r="O444" s="8" t="str">
        <f aca="false">IF(G444&lt;=3,"Poor",IF(G444&lt;=6,"Average",IF(G444&lt;=8,"Good","Excellent")))</f>
        <v>Average</v>
      </c>
      <c r="P444" s="8" t="str">
        <f aca="false">IF(H444&lt;=5,"Low Frequency",IF(H444&lt;=10,"Moderate",IF(H444&lt;=15,"High","Very High")))</f>
        <v>Low Frequency</v>
      </c>
      <c r="Q444" s="8" t="str">
        <f aca="false">IF(K444&gt;=90,"Highly Satisfied",IF(K444&gt;=75,"Satisfied",IF(K444&gt;=60,"Neutral","Dissatisfied")))</f>
        <v>Highly Satisfied</v>
      </c>
      <c r="R444" s="8" t="str">
        <f aca="false">UPPER(LEFT(TRIM(J444),1))&amp;LOWER(MID(TRIM(J444),2,100))</f>
        <v>Bronze</v>
      </c>
      <c r="S444" s="8" t="str">
        <f aca="false">IF(I444="High","Positive",IF(I444="Medium","Neutral","Negative"))</f>
        <v>Negative</v>
      </c>
      <c r="T444" s="8" t="str">
        <f aca="false">IF(AND(E444&gt;=80000,H444&gt;=15),"Premium",IF(AND(E444&gt;=50000,H444&gt;=10),"Standard","Basic"))</f>
        <v>Basic</v>
      </c>
      <c r="U444" s="8" t="str">
        <f aca="false">IF(AND(F444&gt;=7,G444&gt;=7),"High Quality Experience","Review Needed")</f>
        <v>Review Needed</v>
      </c>
      <c r="V444" s="8" t="str">
        <f aca="false">IF(H444&gt;=10,"Repeat Buyer","Occasional Buyer")</f>
        <v>Occasional Buyer</v>
      </c>
      <c r="W444" s="8" t="str">
        <f aca="false">IF(AND(K444&lt;70,I444="Low"),"At Risk","Stable")</f>
        <v>Stable</v>
      </c>
      <c r="X444" s="8" t="str">
        <f aca="false">IF(AND(K444&lt;75,I444="Low",J444="Bronze"),"Priority Followup","No Action")</f>
        <v>No Action</v>
      </c>
    </row>
    <row r="445" customFormat="false" ht="15" hidden="false" customHeight="false" outlineLevel="0" collapsed="false">
      <c r="A445" s="3" t="n">
        <v>443</v>
      </c>
      <c r="B445" s="3" t="n">
        <v>45</v>
      </c>
      <c r="C445" s="3" t="s">
        <v>11</v>
      </c>
      <c r="D445" s="3" t="s">
        <v>20</v>
      </c>
      <c r="E445" s="3" t="n">
        <v>38127</v>
      </c>
      <c r="F445" s="3" t="n">
        <v>2</v>
      </c>
      <c r="G445" s="3" t="n">
        <v>4</v>
      </c>
      <c r="H445" s="3" t="n">
        <v>1</v>
      </c>
      <c r="I445" s="3" t="s">
        <v>13</v>
      </c>
      <c r="J445" s="3" t="s">
        <v>16</v>
      </c>
      <c r="K445" s="3" t="n">
        <v>51.89</v>
      </c>
      <c r="L445" s="7" t="str">
        <f aca="false">IF(B445&lt;25,"Gen Z",IF(B445&lt;40,"Millennial",IF(B445&lt;55,"Gen X","Baby Boomer")))</f>
        <v>Gen X</v>
      </c>
      <c r="M445" s="7" t="str">
        <f aca="false">IF(E445&lt;50000,"Low Income",IF(E445&lt;80000,"Middle Income",IF(E445&lt;100000,"Upper Middle","High Income")))</f>
        <v>Low Income</v>
      </c>
      <c r="N445" s="7" t="str">
        <f aca="false">IF(F445&lt;=3,"Poor",IF(F445&lt;=6,"Average",IF(F445&lt;=8,"Good","Excellent")))</f>
        <v>Poor</v>
      </c>
      <c r="O445" s="7" t="str">
        <f aca="false">IF(G445&lt;=3,"Poor",IF(G445&lt;=6,"Average",IF(G445&lt;=8,"Good","Excellent")))</f>
        <v>Average</v>
      </c>
      <c r="P445" s="7" t="str">
        <f aca="false">IF(H445&lt;=5,"Low Frequency",IF(H445&lt;=10,"Moderate",IF(H445&lt;=15,"High","Very High")))</f>
        <v>Low Frequency</v>
      </c>
      <c r="Q445" s="7" t="str">
        <f aca="false">IF(K445&gt;=90,"Highly Satisfied",IF(K445&gt;=75,"Satisfied",IF(K445&gt;=60,"Neutral","Dissatisfied")))</f>
        <v>Dissatisfied</v>
      </c>
      <c r="R445" s="7" t="str">
        <f aca="false">UPPER(LEFT(TRIM(J445),1))&amp;LOWER(MID(TRIM(J445),2,100))</f>
        <v>Gold</v>
      </c>
      <c r="S445" s="7" t="str">
        <f aca="false">IF(I445="High","Positive",IF(I445="Medium","Neutral","Negative"))</f>
        <v>Negative</v>
      </c>
      <c r="T445" s="7" t="str">
        <f aca="false">IF(AND(E445&gt;=80000,H445&gt;=15),"Premium",IF(AND(E445&gt;=50000,H445&gt;=10),"Standard","Basic"))</f>
        <v>Basic</v>
      </c>
      <c r="U445" s="7" t="str">
        <f aca="false">IF(AND(F445&gt;=7,G445&gt;=7),"High Quality Experience","Review Needed")</f>
        <v>Review Needed</v>
      </c>
      <c r="V445" s="7" t="str">
        <f aca="false">IF(H445&gt;=10,"Repeat Buyer","Occasional Buyer")</f>
        <v>Occasional Buyer</v>
      </c>
      <c r="W445" s="7" t="str">
        <f aca="false">IF(AND(K445&lt;70,I445="Low"),"At Risk","Stable")</f>
        <v>At Risk</v>
      </c>
      <c r="X445" s="7" t="str">
        <f aca="false">IF(AND(K445&lt;75,I445="Low",J445="Bronze"),"Priority Followup","No Action")</f>
        <v>No Action</v>
      </c>
    </row>
    <row r="446" customFormat="false" ht="15" hidden="false" customHeight="false" outlineLevel="0" collapsed="false">
      <c r="A446" s="2" t="n">
        <v>444</v>
      </c>
      <c r="B446" s="2" t="n">
        <v>51</v>
      </c>
      <c r="C446" s="2" t="s">
        <v>17</v>
      </c>
      <c r="D446" s="2" t="s">
        <v>12</v>
      </c>
      <c r="E446" s="2" t="n">
        <v>43960</v>
      </c>
      <c r="F446" s="2" t="n">
        <v>3</v>
      </c>
      <c r="G446" s="2" t="n">
        <v>8</v>
      </c>
      <c r="H446" s="2" t="n">
        <v>5</v>
      </c>
      <c r="I446" s="2" t="s">
        <v>15</v>
      </c>
      <c r="J446" s="2" t="s">
        <v>14</v>
      </c>
      <c r="K446" s="2" t="n">
        <v>91.84</v>
      </c>
      <c r="L446" s="8" t="str">
        <f aca="false">IF(B446&lt;25,"Gen Z",IF(B446&lt;40,"Millennial",IF(B446&lt;55,"Gen X","Baby Boomer")))</f>
        <v>Gen X</v>
      </c>
      <c r="M446" s="8" t="str">
        <f aca="false">IF(E446&lt;50000,"Low Income",IF(E446&lt;80000,"Middle Income",IF(E446&lt;100000,"Upper Middle","High Income")))</f>
        <v>Low Income</v>
      </c>
      <c r="N446" s="8" t="str">
        <f aca="false">IF(F446&lt;=3,"Poor",IF(F446&lt;=6,"Average",IF(F446&lt;=8,"Good","Excellent")))</f>
        <v>Poor</v>
      </c>
      <c r="O446" s="8" t="str">
        <f aca="false">IF(G446&lt;=3,"Poor",IF(G446&lt;=6,"Average",IF(G446&lt;=8,"Good","Excellent")))</f>
        <v>Good</v>
      </c>
      <c r="P446" s="8" t="str">
        <f aca="false">IF(H446&lt;=5,"Low Frequency",IF(H446&lt;=10,"Moderate",IF(H446&lt;=15,"High","Very High")))</f>
        <v>Low Frequency</v>
      </c>
      <c r="Q446" s="8" t="str">
        <f aca="false">IF(K446&gt;=90,"Highly Satisfied",IF(K446&gt;=75,"Satisfied",IF(K446&gt;=60,"Neutral","Dissatisfied")))</f>
        <v>Highly Satisfied</v>
      </c>
      <c r="R446" s="8" t="str">
        <f aca="false">UPPER(LEFT(TRIM(J446),1))&amp;LOWER(MID(TRIM(J446),2,100))</f>
        <v>Bronze</v>
      </c>
      <c r="S446" s="8" t="str">
        <f aca="false">IF(I446="High","Positive",IF(I446="Medium","Neutral","Negative"))</f>
        <v>Neutral</v>
      </c>
      <c r="T446" s="8" t="str">
        <f aca="false">IF(AND(E446&gt;=80000,H446&gt;=15),"Premium",IF(AND(E446&gt;=50000,H446&gt;=10),"Standard","Basic"))</f>
        <v>Basic</v>
      </c>
      <c r="U446" s="8" t="str">
        <f aca="false">IF(AND(F446&gt;=7,G446&gt;=7),"High Quality Experience","Review Needed")</f>
        <v>Review Needed</v>
      </c>
      <c r="V446" s="8" t="str">
        <f aca="false">IF(H446&gt;=10,"Repeat Buyer","Occasional Buyer")</f>
        <v>Occasional Buyer</v>
      </c>
      <c r="W446" s="8" t="str">
        <f aca="false">IF(AND(K446&lt;70,I446="Low"),"At Risk","Stable")</f>
        <v>Stable</v>
      </c>
      <c r="X446" s="8" t="str">
        <f aca="false">IF(AND(K446&lt;75,I446="Low",J446="Bronze"),"Priority Followup","No Action")</f>
        <v>No Action</v>
      </c>
    </row>
    <row r="447" customFormat="false" ht="15" hidden="false" customHeight="false" outlineLevel="0" collapsed="false">
      <c r="A447" s="3" t="n">
        <v>445</v>
      </c>
      <c r="B447" s="3" t="n">
        <v>19</v>
      </c>
      <c r="C447" s="3" t="s">
        <v>11</v>
      </c>
      <c r="D447" s="3" t="s">
        <v>18</v>
      </c>
      <c r="E447" s="3" t="n">
        <v>73368</v>
      </c>
      <c r="F447" s="3" t="n">
        <v>3</v>
      </c>
      <c r="G447" s="3" t="n">
        <v>1</v>
      </c>
      <c r="H447" s="3" t="n">
        <v>5</v>
      </c>
      <c r="I447" s="3" t="s">
        <v>21</v>
      </c>
      <c r="J447" s="3" t="s">
        <v>14</v>
      </c>
      <c r="K447" s="3" t="n">
        <v>45.45</v>
      </c>
      <c r="L447" s="7" t="str">
        <f aca="false">IF(B447&lt;25,"Gen Z",IF(B447&lt;40,"Millennial",IF(B447&lt;55,"Gen X","Baby Boomer")))</f>
        <v>Gen Z</v>
      </c>
      <c r="M447" s="7" t="str">
        <f aca="false">IF(E447&lt;50000,"Low Income",IF(E447&lt;80000,"Middle Income",IF(E447&lt;100000,"Upper Middle","High Income")))</f>
        <v>Middle Income</v>
      </c>
      <c r="N447" s="7" t="str">
        <f aca="false">IF(F447&lt;=3,"Poor",IF(F447&lt;=6,"Average",IF(F447&lt;=8,"Good","Excellent")))</f>
        <v>Poor</v>
      </c>
      <c r="O447" s="7" t="str">
        <f aca="false">IF(G447&lt;=3,"Poor",IF(G447&lt;=6,"Average",IF(G447&lt;=8,"Good","Excellent")))</f>
        <v>Poor</v>
      </c>
      <c r="P447" s="7" t="str">
        <f aca="false">IF(H447&lt;=5,"Low Frequency",IF(H447&lt;=10,"Moderate",IF(H447&lt;=15,"High","Very High")))</f>
        <v>Low Frequency</v>
      </c>
      <c r="Q447" s="7" t="str">
        <f aca="false">IF(K447&gt;=90,"Highly Satisfied",IF(K447&gt;=75,"Satisfied",IF(K447&gt;=60,"Neutral","Dissatisfied")))</f>
        <v>Dissatisfied</v>
      </c>
      <c r="R447" s="7" t="str">
        <f aca="false">UPPER(LEFT(TRIM(J447),1))&amp;LOWER(MID(TRIM(J447),2,100))</f>
        <v>Bronze</v>
      </c>
      <c r="S447" s="7" t="str">
        <f aca="false">IF(I447="High","Positive",IF(I447="Medium","Neutral","Negative"))</f>
        <v>Positive</v>
      </c>
      <c r="T447" s="7" t="str">
        <f aca="false">IF(AND(E447&gt;=80000,H447&gt;=15),"Premium",IF(AND(E447&gt;=50000,H447&gt;=10),"Standard","Basic"))</f>
        <v>Basic</v>
      </c>
      <c r="U447" s="7" t="str">
        <f aca="false">IF(AND(F447&gt;=7,G447&gt;=7),"High Quality Experience","Review Needed")</f>
        <v>Review Needed</v>
      </c>
      <c r="V447" s="7" t="str">
        <f aca="false">IF(H447&gt;=10,"Repeat Buyer","Occasional Buyer")</f>
        <v>Occasional Buyer</v>
      </c>
      <c r="W447" s="7" t="str">
        <f aca="false">IF(AND(K447&lt;70,I447="Low"),"At Risk","Stable")</f>
        <v>Stable</v>
      </c>
      <c r="X447" s="7" t="str">
        <f aca="false">IF(AND(K447&lt;75,I447="Low",J447="Bronze"),"Priority Followup","No Action")</f>
        <v>No Action</v>
      </c>
    </row>
    <row r="448" customFormat="false" ht="15" hidden="false" customHeight="false" outlineLevel="0" collapsed="false">
      <c r="A448" s="2" t="n">
        <v>446</v>
      </c>
      <c r="B448" s="2" t="n">
        <v>49</v>
      </c>
      <c r="C448" s="2" t="s">
        <v>11</v>
      </c>
      <c r="D448" s="2" t="s">
        <v>23</v>
      </c>
      <c r="E448" s="2" t="n">
        <v>41426</v>
      </c>
      <c r="F448" s="2" t="n">
        <v>7</v>
      </c>
      <c r="G448" s="2" t="n">
        <v>1</v>
      </c>
      <c r="H448" s="2" t="n">
        <v>7</v>
      </c>
      <c r="I448" s="2" t="s">
        <v>21</v>
      </c>
      <c r="J448" s="2" t="s">
        <v>14</v>
      </c>
      <c r="K448" s="2" t="n">
        <v>56.71</v>
      </c>
      <c r="L448" s="8" t="str">
        <f aca="false">IF(B448&lt;25,"Gen Z",IF(B448&lt;40,"Millennial",IF(B448&lt;55,"Gen X","Baby Boomer")))</f>
        <v>Gen X</v>
      </c>
      <c r="M448" s="8" t="str">
        <f aca="false">IF(E448&lt;50000,"Low Income",IF(E448&lt;80000,"Middle Income",IF(E448&lt;100000,"Upper Middle","High Income")))</f>
        <v>Low Income</v>
      </c>
      <c r="N448" s="8" t="str">
        <f aca="false">IF(F448&lt;=3,"Poor",IF(F448&lt;=6,"Average",IF(F448&lt;=8,"Good","Excellent")))</f>
        <v>Good</v>
      </c>
      <c r="O448" s="8" t="str">
        <f aca="false">IF(G448&lt;=3,"Poor",IF(G448&lt;=6,"Average",IF(G448&lt;=8,"Good","Excellent")))</f>
        <v>Poor</v>
      </c>
      <c r="P448" s="8" t="str">
        <f aca="false">IF(H448&lt;=5,"Low Frequency",IF(H448&lt;=10,"Moderate",IF(H448&lt;=15,"High","Very High")))</f>
        <v>Moderate</v>
      </c>
      <c r="Q448" s="8" t="str">
        <f aca="false">IF(K448&gt;=90,"Highly Satisfied",IF(K448&gt;=75,"Satisfied",IF(K448&gt;=60,"Neutral","Dissatisfied")))</f>
        <v>Dissatisfied</v>
      </c>
      <c r="R448" s="8" t="str">
        <f aca="false">UPPER(LEFT(TRIM(J448),1))&amp;LOWER(MID(TRIM(J448),2,100))</f>
        <v>Bronze</v>
      </c>
      <c r="S448" s="8" t="str">
        <f aca="false">IF(I448="High","Positive",IF(I448="Medium","Neutral","Negative"))</f>
        <v>Positive</v>
      </c>
      <c r="T448" s="8" t="str">
        <f aca="false">IF(AND(E448&gt;=80000,H448&gt;=15),"Premium",IF(AND(E448&gt;=50000,H448&gt;=10),"Standard","Basic"))</f>
        <v>Basic</v>
      </c>
      <c r="U448" s="8" t="str">
        <f aca="false">IF(AND(F448&gt;=7,G448&gt;=7),"High Quality Experience","Review Needed")</f>
        <v>Review Needed</v>
      </c>
      <c r="V448" s="8" t="str">
        <f aca="false">IF(H448&gt;=10,"Repeat Buyer","Occasional Buyer")</f>
        <v>Occasional Buyer</v>
      </c>
      <c r="W448" s="8" t="str">
        <f aca="false">IF(AND(K448&lt;70,I448="Low"),"At Risk","Stable")</f>
        <v>Stable</v>
      </c>
      <c r="X448" s="8" t="str">
        <f aca="false">IF(AND(K448&lt;75,I448="Low",J448="Bronze"),"Priority Followup","No Action")</f>
        <v>No Action</v>
      </c>
    </row>
    <row r="449" customFormat="false" ht="15" hidden="false" customHeight="false" outlineLevel="0" collapsed="false">
      <c r="A449" s="3" t="n">
        <v>447</v>
      </c>
      <c r="B449" s="3" t="n">
        <v>40</v>
      </c>
      <c r="C449" s="3" t="s">
        <v>17</v>
      </c>
      <c r="D449" s="3" t="s">
        <v>23</v>
      </c>
      <c r="E449" s="3" t="n">
        <v>66910</v>
      </c>
      <c r="F449" s="3" t="n">
        <v>10</v>
      </c>
      <c r="G449" s="3" t="n">
        <v>10</v>
      </c>
      <c r="H449" s="3" t="n">
        <v>2</v>
      </c>
      <c r="I449" s="3" t="s">
        <v>15</v>
      </c>
      <c r="J449" s="3" t="s">
        <v>16</v>
      </c>
      <c r="K449" s="3" t="n">
        <v>100</v>
      </c>
      <c r="L449" s="7" t="str">
        <f aca="false">IF(B449&lt;25,"Gen Z",IF(B449&lt;40,"Millennial",IF(B449&lt;55,"Gen X","Baby Boomer")))</f>
        <v>Gen X</v>
      </c>
      <c r="M449" s="7" t="str">
        <f aca="false">IF(E449&lt;50000,"Low Income",IF(E449&lt;80000,"Middle Income",IF(E449&lt;100000,"Upper Middle","High Income")))</f>
        <v>Middle Income</v>
      </c>
      <c r="N449" s="7" t="str">
        <f aca="false">IF(F449&lt;=3,"Poor",IF(F449&lt;=6,"Average",IF(F449&lt;=8,"Good","Excellent")))</f>
        <v>Excellent</v>
      </c>
      <c r="O449" s="7" t="str">
        <f aca="false">IF(G449&lt;=3,"Poor",IF(G449&lt;=6,"Average",IF(G449&lt;=8,"Good","Excellent")))</f>
        <v>Excellent</v>
      </c>
      <c r="P449" s="7" t="str">
        <f aca="false">IF(H449&lt;=5,"Low Frequency",IF(H449&lt;=10,"Moderate",IF(H449&lt;=15,"High","Very High")))</f>
        <v>Low Frequency</v>
      </c>
      <c r="Q449" s="7" t="str">
        <f aca="false">IF(K449&gt;=90,"Highly Satisfied",IF(K449&gt;=75,"Satisfied",IF(K449&gt;=60,"Neutral","Dissatisfied")))</f>
        <v>Highly Satisfied</v>
      </c>
      <c r="R449" s="7" t="str">
        <f aca="false">UPPER(LEFT(TRIM(J449),1))&amp;LOWER(MID(TRIM(J449),2,100))</f>
        <v>Gold</v>
      </c>
      <c r="S449" s="7" t="str">
        <f aca="false">IF(I449="High","Positive",IF(I449="Medium","Neutral","Negative"))</f>
        <v>Neutral</v>
      </c>
      <c r="T449" s="7" t="str">
        <f aca="false">IF(AND(E449&gt;=80000,H449&gt;=15),"Premium",IF(AND(E449&gt;=50000,H449&gt;=10),"Standard","Basic"))</f>
        <v>Basic</v>
      </c>
      <c r="U449" s="7" t="str">
        <f aca="false">IF(AND(F449&gt;=7,G449&gt;=7),"High Quality Experience","Review Needed")</f>
        <v>High Quality Experience</v>
      </c>
      <c r="V449" s="7" t="str">
        <f aca="false">IF(H449&gt;=10,"Repeat Buyer","Occasional Buyer")</f>
        <v>Occasional Buyer</v>
      </c>
      <c r="W449" s="7" t="str">
        <f aca="false">IF(AND(K449&lt;70,I449="Low"),"At Risk","Stable")</f>
        <v>Stable</v>
      </c>
      <c r="X449" s="7" t="str">
        <f aca="false">IF(AND(K449&lt;75,I449="Low",J449="Bronze"),"Priority Followup","No Action")</f>
        <v>No Action</v>
      </c>
    </row>
    <row r="450" customFormat="false" ht="15" hidden="false" customHeight="false" outlineLevel="0" collapsed="false">
      <c r="A450" s="2" t="n">
        <v>448</v>
      </c>
      <c r="B450" s="2" t="n">
        <v>39</v>
      </c>
      <c r="C450" s="2" t="s">
        <v>11</v>
      </c>
      <c r="D450" s="2" t="s">
        <v>20</v>
      </c>
      <c r="E450" s="2" t="n">
        <v>54630</v>
      </c>
      <c r="F450" s="2" t="n">
        <v>8</v>
      </c>
      <c r="G450" s="2" t="n">
        <v>9</v>
      </c>
      <c r="H450" s="2" t="n">
        <v>12</v>
      </c>
      <c r="I450" s="2" t="s">
        <v>21</v>
      </c>
      <c r="J450" s="2" t="s">
        <v>19</v>
      </c>
      <c r="K450" s="2" t="n">
        <v>100</v>
      </c>
      <c r="L450" s="8" t="str">
        <f aca="false">IF(B450&lt;25,"Gen Z",IF(B450&lt;40,"Millennial",IF(B450&lt;55,"Gen X","Baby Boomer")))</f>
        <v>Millennial</v>
      </c>
      <c r="M450" s="8" t="str">
        <f aca="false">IF(E450&lt;50000,"Low Income",IF(E450&lt;80000,"Middle Income",IF(E450&lt;100000,"Upper Middle","High Income")))</f>
        <v>Middle Income</v>
      </c>
      <c r="N450" s="8" t="str">
        <f aca="false">IF(F450&lt;=3,"Poor",IF(F450&lt;=6,"Average",IF(F450&lt;=8,"Good","Excellent")))</f>
        <v>Good</v>
      </c>
      <c r="O450" s="8" t="str">
        <f aca="false">IF(G450&lt;=3,"Poor",IF(G450&lt;=6,"Average",IF(G450&lt;=8,"Good","Excellent")))</f>
        <v>Excellent</v>
      </c>
      <c r="P450" s="8" t="str">
        <f aca="false">IF(H450&lt;=5,"Low Frequency",IF(H450&lt;=10,"Moderate",IF(H450&lt;=15,"High","Very High")))</f>
        <v>High</v>
      </c>
      <c r="Q450" s="8" t="str">
        <f aca="false">IF(K450&gt;=90,"Highly Satisfied",IF(K450&gt;=75,"Satisfied",IF(K450&gt;=60,"Neutral","Dissatisfied")))</f>
        <v>Highly Satisfied</v>
      </c>
      <c r="R450" s="8" t="str">
        <f aca="false">UPPER(LEFT(TRIM(J450),1))&amp;LOWER(MID(TRIM(J450),2,100))</f>
        <v>Silver</v>
      </c>
      <c r="S450" s="8" t="str">
        <f aca="false">IF(I450="High","Positive",IF(I450="Medium","Neutral","Negative"))</f>
        <v>Positive</v>
      </c>
      <c r="T450" s="8" t="str">
        <f aca="false">IF(AND(E450&gt;=80000,H450&gt;=15),"Premium",IF(AND(E450&gt;=50000,H450&gt;=10),"Standard","Basic"))</f>
        <v>Standard</v>
      </c>
      <c r="U450" s="8" t="str">
        <f aca="false">IF(AND(F450&gt;=7,G450&gt;=7),"High Quality Experience","Review Needed")</f>
        <v>High Quality Experience</v>
      </c>
      <c r="V450" s="8" t="str">
        <f aca="false">IF(H450&gt;=10,"Repeat Buyer","Occasional Buyer")</f>
        <v>Repeat Buyer</v>
      </c>
      <c r="W450" s="8" t="str">
        <f aca="false">IF(AND(K450&lt;70,I450="Low"),"At Risk","Stable")</f>
        <v>Stable</v>
      </c>
      <c r="X450" s="8" t="str">
        <f aca="false">IF(AND(K450&lt;75,I450="Low",J450="Bronze"),"Priority Followup","No Action")</f>
        <v>No Action</v>
      </c>
    </row>
    <row r="451" customFormat="false" ht="15" hidden="false" customHeight="false" outlineLevel="0" collapsed="false">
      <c r="A451" s="3" t="n">
        <v>449</v>
      </c>
      <c r="B451" s="3" t="n">
        <v>68</v>
      </c>
      <c r="C451" s="3" t="s">
        <v>17</v>
      </c>
      <c r="D451" s="3" t="s">
        <v>18</v>
      </c>
      <c r="E451" s="3" t="n">
        <v>73274</v>
      </c>
      <c r="F451" s="3" t="n">
        <v>8</v>
      </c>
      <c r="G451" s="3" t="n">
        <v>4</v>
      </c>
      <c r="H451" s="3" t="n">
        <v>14</v>
      </c>
      <c r="I451" s="3" t="s">
        <v>15</v>
      </c>
      <c r="J451" s="3" t="s">
        <v>19</v>
      </c>
      <c r="K451" s="3" t="n">
        <v>100</v>
      </c>
      <c r="L451" s="7" t="str">
        <f aca="false">IF(B451&lt;25,"Gen Z",IF(B451&lt;40,"Millennial",IF(B451&lt;55,"Gen X","Baby Boomer")))</f>
        <v>Baby Boomer</v>
      </c>
      <c r="M451" s="7" t="str">
        <f aca="false">IF(E451&lt;50000,"Low Income",IF(E451&lt;80000,"Middle Income",IF(E451&lt;100000,"Upper Middle","High Income")))</f>
        <v>Middle Income</v>
      </c>
      <c r="N451" s="7" t="str">
        <f aca="false">IF(F451&lt;=3,"Poor",IF(F451&lt;=6,"Average",IF(F451&lt;=8,"Good","Excellent")))</f>
        <v>Good</v>
      </c>
      <c r="O451" s="7" t="str">
        <f aca="false">IF(G451&lt;=3,"Poor",IF(G451&lt;=6,"Average",IF(G451&lt;=8,"Good","Excellent")))</f>
        <v>Average</v>
      </c>
      <c r="P451" s="7" t="str">
        <f aca="false">IF(H451&lt;=5,"Low Frequency",IF(H451&lt;=10,"Moderate",IF(H451&lt;=15,"High","Very High")))</f>
        <v>High</v>
      </c>
      <c r="Q451" s="7" t="str">
        <f aca="false">IF(K451&gt;=90,"Highly Satisfied",IF(K451&gt;=75,"Satisfied",IF(K451&gt;=60,"Neutral","Dissatisfied")))</f>
        <v>Highly Satisfied</v>
      </c>
      <c r="R451" s="7" t="str">
        <f aca="false">UPPER(LEFT(TRIM(J451),1))&amp;LOWER(MID(TRIM(J451),2,100))</f>
        <v>Silver</v>
      </c>
      <c r="S451" s="7" t="str">
        <f aca="false">IF(I451="High","Positive",IF(I451="Medium","Neutral","Negative"))</f>
        <v>Neutral</v>
      </c>
      <c r="T451" s="7" t="str">
        <f aca="false">IF(AND(E451&gt;=80000,H451&gt;=15),"Premium",IF(AND(E451&gt;=50000,H451&gt;=10),"Standard","Basic"))</f>
        <v>Standard</v>
      </c>
      <c r="U451" s="7" t="str">
        <f aca="false">IF(AND(F451&gt;=7,G451&gt;=7),"High Quality Experience","Review Needed")</f>
        <v>Review Needed</v>
      </c>
      <c r="V451" s="7" t="str">
        <f aca="false">IF(H451&gt;=10,"Repeat Buyer","Occasional Buyer")</f>
        <v>Repeat Buyer</v>
      </c>
      <c r="W451" s="7" t="str">
        <f aca="false">IF(AND(K451&lt;70,I451="Low"),"At Risk","Stable")</f>
        <v>Stable</v>
      </c>
      <c r="X451" s="7" t="str">
        <f aca="false">IF(AND(K451&lt;75,I451="Low",J451="Bronze"),"Priority Followup","No Action")</f>
        <v>No Action</v>
      </c>
    </row>
    <row r="452" customFormat="false" ht="15" hidden="false" customHeight="false" outlineLevel="0" collapsed="false">
      <c r="A452" s="2" t="n">
        <v>450</v>
      </c>
      <c r="B452" s="2" t="n">
        <v>42</v>
      </c>
      <c r="C452" s="2" t="s">
        <v>11</v>
      </c>
      <c r="D452" s="2" t="s">
        <v>23</v>
      </c>
      <c r="E452" s="2" t="n">
        <v>108368</v>
      </c>
      <c r="F452" s="2" t="n">
        <v>9</v>
      </c>
      <c r="G452" s="2" t="n">
        <v>2</v>
      </c>
      <c r="H452" s="2" t="n">
        <v>14</v>
      </c>
      <c r="I452" s="2" t="s">
        <v>15</v>
      </c>
      <c r="J452" s="2" t="s">
        <v>14</v>
      </c>
      <c r="K452" s="2" t="n">
        <v>100</v>
      </c>
      <c r="L452" s="8" t="str">
        <f aca="false">IF(B452&lt;25,"Gen Z",IF(B452&lt;40,"Millennial",IF(B452&lt;55,"Gen X","Baby Boomer")))</f>
        <v>Gen X</v>
      </c>
      <c r="M452" s="8" t="str">
        <f aca="false">IF(E452&lt;50000,"Low Income",IF(E452&lt;80000,"Middle Income",IF(E452&lt;100000,"Upper Middle","High Income")))</f>
        <v>High Income</v>
      </c>
      <c r="N452" s="8" t="str">
        <f aca="false">IF(F452&lt;=3,"Poor",IF(F452&lt;=6,"Average",IF(F452&lt;=8,"Good","Excellent")))</f>
        <v>Excellent</v>
      </c>
      <c r="O452" s="8" t="str">
        <f aca="false">IF(G452&lt;=3,"Poor",IF(G452&lt;=6,"Average",IF(G452&lt;=8,"Good","Excellent")))</f>
        <v>Poor</v>
      </c>
      <c r="P452" s="8" t="str">
        <f aca="false">IF(H452&lt;=5,"Low Frequency",IF(H452&lt;=10,"Moderate",IF(H452&lt;=15,"High","Very High")))</f>
        <v>High</v>
      </c>
      <c r="Q452" s="8" t="str">
        <f aca="false">IF(K452&gt;=90,"Highly Satisfied",IF(K452&gt;=75,"Satisfied",IF(K452&gt;=60,"Neutral","Dissatisfied")))</f>
        <v>Highly Satisfied</v>
      </c>
      <c r="R452" s="8" t="str">
        <f aca="false">UPPER(LEFT(TRIM(J452),1))&amp;LOWER(MID(TRIM(J452),2,100))</f>
        <v>Bronze</v>
      </c>
      <c r="S452" s="8" t="str">
        <f aca="false">IF(I452="High","Positive",IF(I452="Medium","Neutral","Negative"))</f>
        <v>Neutral</v>
      </c>
      <c r="T452" s="8" t="str">
        <f aca="false">IF(AND(E452&gt;=80000,H452&gt;=15),"Premium",IF(AND(E452&gt;=50000,H452&gt;=10),"Standard","Basic"))</f>
        <v>Standard</v>
      </c>
      <c r="U452" s="8" t="str">
        <f aca="false">IF(AND(F452&gt;=7,G452&gt;=7),"High Quality Experience","Review Needed")</f>
        <v>Review Needed</v>
      </c>
      <c r="V452" s="8" t="str">
        <f aca="false">IF(H452&gt;=10,"Repeat Buyer","Occasional Buyer")</f>
        <v>Repeat Buyer</v>
      </c>
      <c r="W452" s="8" t="str">
        <f aca="false">IF(AND(K452&lt;70,I452="Low"),"At Risk","Stable")</f>
        <v>Stable</v>
      </c>
      <c r="X452" s="8" t="str">
        <f aca="false">IF(AND(K452&lt;75,I452="Low",J452="Bronze"),"Priority Followup","No Action")</f>
        <v>No Action</v>
      </c>
    </row>
    <row r="453" customFormat="false" ht="15" hidden="false" customHeight="false" outlineLevel="0" collapsed="false">
      <c r="A453" s="3" t="n">
        <v>451</v>
      </c>
      <c r="B453" s="3" t="n">
        <v>39</v>
      </c>
      <c r="C453" s="3" t="s">
        <v>11</v>
      </c>
      <c r="D453" s="3" t="s">
        <v>18</v>
      </c>
      <c r="E453" s="3" t="n">
        <v>48373</v>
      </c>
      <c r="F453" s="3" t="n">
        <v>2</v>
      </c>
      <c r="G453" s="3" t="n">
        <v>4</v>
      </c>
      <c r="H453" s="3" t="n">
        <v>17</v>
      </c>
      <c r="I453" s="3" t="s">
        <v>13</v>
      </c>
      <c r="J453" s="3" t="s">
        <v>19</v>
      </c>
      <c r="K453" s="3" t="n">
        <v>59.53</v>
      </c>
      <c r="L453" s="7" t="str">
        <f aca="false">IF(B453&lt;25,"Gen Z",IF(B453&lt;40,"Millennial",IF(B453&lt;55,"Gen X","Baby Boomer")))</f>
        <v>Millennial</v>
      </c>
      <c r="M453" s="7" t="str">
        <f aca="false">IF(E453&lt;50000,"Low Income",IF(E453&lt;80000,"Middle Income",IF(E453&lt;100000,"Upper Middle","High Income")))</f>
        <v>Low Income</v>
      </c>
      <c r="N453" s="7" t="str">
        <f aca="false">IF(F453&lt;=3,"Poor",IF(F453&lt;=6,"Average",IF(F453&lt;=8,"Good","Excellent")))</f>
        <v>Poor</v>
      </c>
      <c r="O453" s="7" t="str">
        <f aca="false">IF(G453&lt;=3,"Poor",IF(G453&lt;=6,"Average",IF(G453&lt;=8,"Good","Excellent")))</f>
        <v>Average</v>
      </c>
      <c r="P453" s="7" t="str">
        <f aca="false">IF(H453&lt;=5,"Low Frequency",IF(H453&lt;=10,"Moderate",IF(H453&lt;=15,"High","Very High")))</f>
        <v>Very High</v>
      </c>
      <c r="Q453" s="7" t="str">
        <f aca="false">IF(K453&gt;=90,"Highly Satisfied",IF(K453&gt;=75,"Satisfied",IF(K453&gt;=60,"Neutral","Dissatisfied")))</f>
        <v>Dissatisfied</v>
      </c>
      <c r="R453" s="7" t="str">
        <f aca="false">UPPER(LEFT(TRIM(J453),1))&amp;LOWER(MID(TRIM(J453),2,100))</f>
        <v>Silver</v>
      </c>
      <c r="S453" s="7" t="str">
        <f aca="false">IF(I453="High","Positive",IF(I453="Medium","Neutral","Negative"))</f>
        <v>Negative</v>
      </c>
      <c r="T453" s="7" t="str">
        <f aca="false">IF(AND(E453&gt;=80000,H453&gt;=15),"Premium",IF(AND(E453&gt;=50000,H453&gt;=10),"Standard","Basic"))</f>
        <v>Basic</v>
      </c>
      <c r="U453" s="7" t="str">
        <f aca="false">IF(AND(F453&gt;=7,G453&gt;=7),"High Quality Experience","Review Needed")</f>
        <v>Review Needed</v>
      </c>
      <c r="V453" s="7" t="str">
        <f aca="false">IF(H453&gt;=10,"Repeat Buyer","Occasional Buyer")</f>
        <v>Repeat Buyer</v>
      </c>
      <c r="W453" s="7" t="str">
        <f aca="false">IF(AND(K453&lt;70,I453="Low"),"At Risk","Stable")</f>
        <v>At Risk</v>
      </c>
      <c r="X453" s="7" t="str">
        <f aca="false">IF(AND(K453&lt;75,I453="Low",J453="Bronze"),"Priority Followup","No Action")</f>
        <v>No Action</v>
      </c>
    </row>
    <row r="454" customFormat="false" ht="15" hidden="false" customHeight="false" outlineLevel="0" collapsed="false">
      <c r="A454" s="2" t="n">
        <v>452</v>
      </c>
      <c r="B454" s="2" t="n">
        <v>39</v>
      </c>
      <c r="C454" s="2" t="s">
        <v>11</v>
      </c>
      <c r="D454" s="2" t="s">
        <v>20</v>
      </c>
      <c r="E454" s="2" t="n">
        <v>99559</v>
      </c>
      <c r="F454" s="2" t="n">
        <v>10</v>
      </c>
      <c r="G454" s="2" t="n">
        <v>6</v>
      </c>
      <c r="H454" s="2" t="n">
        <v>15</v>
      </c>
      <c r="I454" s="2" t="s">
        <v>15</v>
      </c>
      <c r="J454" s="2" t="s">
        <v>19</v>
      </c>
      <c r="K454" s="2" t="n">
        <v>100</v>
      </c>
      <c r="L454" s="8" t="str">
        <f aca="false">IF(B454&lt;25,"Gen Z",IF(B454&lt;40,"Millennial",IF(B454&lt;55,"Gen X","Baby Boomer")))</f>
        <v>Millennial</v>
      </c>
      <c r="M454" s="8" t="str">
        <f aca="false">IF(E454&lt;50000,"Low Income",IF(E454&lt;80000,"Middle Income",IF(E454&lt;100000,"Upper Middle","High Income")))</f>
        <v>Upper Middle</v>
      </c>
      <c r="N454" s="8" t="str">
        <f aca="false">IF(F454&lt;=3,"Poor",IF(F454&lt;=6,"Average",IF(F454&lt;=8,"Good","Excellent")))</f>
        <v>Excellent</v>
      </c>
      <c r="O454" s="8" t="str">
        <f aca="false">IF(G454&lt;=3,"Poor",IF(G454&lt;=6,"Average",IF(G454&lt;=8,"Good","Excellent")))</f>
        <v>Average</v>
      </c>
      <c r="P454" s="8" t="str">
        <f aca="false">IF(H454&lt;=5,"Low Frequency",IF(H454&lt;=10,"Moderate",IF(H454&lt;=15,"High","Very High")))</f>
        <v>High</v>
      </c>
      <c r="Q454" s="8" t="str">
        <f aca="false">IF(K454&gt;=90,"Highly Satisfied",IF(K454&gt;=75,"Satisfied",IF(K454&gt;=60,"Neutral","Dissatisfied")))</f>
        <v>Highly Satisfied</v>
      </c>
      <c r="R454" s="8" t="str">
        <f aca="false">UPPER(LEFT(TRIM(J454),1))&amp;LOWER(MID(TRIM(J454),2,100))</f>
        <v>Silver</v>
      </c>
      <c r="S454" s="8" t="str">
        <f aca="false">IF(I454="High","Positive",IF(I454="Medium","Neutral","Negative"))</f>
        <v>Neutral</v>
      </c>
      <c r="T454" s="8" t="str">
        <f aca="false">IF(AND(E454&gt;=80000,H454&gt;=15),"Premium",IF(AND(E454&gt;=50000,H454&gt;=10),"Standard","Basic"))</f>
        <v>Premium</v>
      </c>
      <c r="U454" s="8" t="str">
        <f aca="false">IF(AND(F454&gt;=7,G454&gt;=7),"High Quality Experience","Review Needed")</f>
        <v>Review Needed</v>
      </c>
      <c r="V454" s="8" t="str">
        <f aca="false">IF(H454&gt;=10,"Repeat Buyer","Occasional Buyer")</f>
        <v>Repeat Buyer</v>
      </c>
      <c r="W454" s="8" t="str">
        <f aca="false">IF(AND(K454&lt;70,I454="Low"),"At Risk","Stable")</f>
        <v>Stable</v>
      </c>
      <c r="X454" s="8" t="str">
        <f aca="false">IF(AND(K454&lt;75,I454="Low",J454="Bronze"),"Priority Followup","No Action")</f>
        <v>No Action</v>
      </c>
    </row>
    <row r="455" customFormat="false" ht="15" hidden="false" customHeight="false" outlineLevel="0" collapsed="false">
      <c r="A455" s="3" t="n">
        <v>453</v>
      </c>
      <c r="B455" s="3" t="n">
        <v>66</v>
      </c>
      <c r="C455" s="3" t="s">
        <v>17</v>
      </c>
      <c r="D455" s="3" t="s">
        <v>22</v>
      </c>
      <c r="E455" s="3" t="n">
        <v>105071</v>
      </c>
      <c r="F455" s="3" t="n">
        <v>8</v>
      </c>
      <c r="G455" s="3" t="n">
        <v>3</v>
      </c>
      <c r="H455" s="3" t="n">
        <v>19</v>
      </c>
      <c r="I455" s="3" t="s">
        <v>13</v>
      </c>
      <c r="J455" s="3" t="s">
        <v>19</v>
      </c>
      <c r="K455" s="3" t="n">
        <v>100</v>
      </c>
      <c r="L455" s="7" t="str">
        <f aca="false">IF(B455&lt;25,"Gen Z",IF(B455&lt;40,"Millennial",IF(B455&lt;55,"Gen X","Baby Boomer")))</f>
        <v>Baby Boomer</v>
      </c>
      <c r="M455" s="7" t="str">
        <f aca="false">IF(E455&lt;50000,"Low Income",IF(E455&lt;80000,"Middle Income",IF(E455&lt;100000,"Upper Middle","High Income")))</f>
        <v>High Income</v>
      </c>
      <c r="N455" s="7" t="str">
        <f aca="false">IF(F455&lt;=3,"Poor",IF(F455&lt;=6,"Average",IF(F455&lt;=8,"Good","Excellent")))</f>
        <v>Good</v>
      </c>
      <c r="O455" s="7" t="str">
        <f aca="false">IF(G455&lt;=3,"Poor",IF(G455&lt;=6,"Average",IF(G455&lt;=8,"Good","Excellent")))</f>
        <v>Poor</v>
      </c>
      <c r="P455" s="7" t="str">
        <f aca="false">IF(H455&lt;=5,"Low Frequency",IF(H455&lt;=10,"Moderate",IF(H455&lt;=15,"High","Very High")))</f>
        <v>Very High</v>
      </c>
      <c r="Q455" s="7" t="str">
        <f aca="false">IF(K455&gt;=90,"Highly Satisfied",IF(K455&gt;=75,"Satisfied",IF(K455&gt;=60,"Neutral","Dissatisfied")))</f>
        <v>Highly Satisfied</v>
      </c>
      <c r="R455" s="7" t="str">
        <f aca="false">UPPER(LEFT(TRIM(J455),1))&amp;LOWER(MID(TRIM(J455),2,100))</f>
        <v>Silver</v>
      </c>
      <c r="S455" s="7" t="str">
        <f aca="false">IF(I455="High","Positive",IF(I455="Medium","Neutral","Negative"))</f>
        <v>Negative</v>
      </c>
      <c r="T455" s="7" t="str">
        <f aca="false">IF(AND(E455&gt;=80000,H455&gt;=15),"Premium",IF(AND(E455&gt;=50000,H455&gt;=10),"Standard","Basic"))</f>
        <v>Premium</v>
      </c>
      <c r="U455" s="7" t="str">
        <f aca="false">IF(AND(F455&gt;=7,G455&gt;=7),"High Quality Experience","Review Needed")</f>
        <v>Review Needed</v>
      </c>
      <c r="V455" s="7" t="str">
        <f aca="false">IF(H455&gt;=10,"Repeat Buyer","Occasional Buyer")</f>
        <v>Repeat Buyer</v>
      </c>
      <c r="W455" s="7" t="str">
        <f aca="false">IF(AND(K455&lt;70,I455="Low"),"At Risk","Stable")</f>
        <v>Stable</v>
      </c>
      <c r="X455" s="7" t="str">
        <f aca="false">IF(AND(K455&lt;75,I455="Low",J455="Bronze"),"Priority Followup","No Action")</f>
        <v>No Action</v>
      </c>
    </row>
    <row r="456" customFormat="false" ht="15" hidden="false" customHeight="false" outlineLevel="0" collapsed="false">
      <c r="A456" s="2" t="n">
        <v>454</v>
      </c>
      <c r="B456" s="2" t="n">
        <v>69</v>
      </c>
      <c r="C456" s="2" t="s">
        <v>17</v>
      </c>
      <c r="D456" s="2" t="s">
        <v>23</v>
      </c>
      <c r="E456" s="2" t="n">
        <v>65804</v>
      </c>
      <c r="F456" s="2" t="n">
        <v>6</v>
      </c>
      <c r="G456" s="2" t="n">
        <v>1</v>
      </c>
      <c r="H456" s="2" t="n">
        <v>2</v>
      </c>
      <c r="I456" s="2" t="s">
        <v>21</v>
      </c>
      <c r="J456" s="2" t="s">
        <v>16</v>
      </c>
      <c r="K456" s="2" t="n">
        <v>78.16</v>
      </c>
      <c r="L456" s="8" t="str">
        <f aca="false">IF(B456&lt;25,"Gen Z",IF(B456&lt;40,"Millennial",IF(B456&lt;55,"Gen X","Baby Boomer")))</f>
        <v>Baby Boomer</v>
      </c>
      <c r="M456" s="8" t="str">
        <f aca="false">IF(E456&lt;50000,"Low Income",IF(E456&lt;80000,"Middle Income",IF(E456&lt;100000,"Upper Middle","High Income")))</f>
        <v>Middle Income</v>
      </c>
      <c r="N456" s="8" t="str">
        <f aca="false">IF(F456&lt;=3,"Poor",IF(F456&lt;=6,"Average",IF(F456&lt;=8,"Good","Excellent")))</f>
        <v>Average</v>
      </c>
      <c r="O456" s="8" t="str">
        <f aca="false">IF(G456&lt;=3,"Poor",IF(G456&lt;=6,"Average",IF(G456&lt;=8,"Good","Excellent")))</f>
        <v>Poor</v>
      </c>
      <c r="P456" s="8" t="str">
        <f aca="false">IF(H456&lt;=5,"Low Frequency",IF(H456&lt;=10,"Moderate",IF(H456&lt;=15,"High","Very High")))</f>
        <v>Low Frequency</v>
      </c>
      <c r="Q456" s="8" t="str">
        <f aca="false">IF(K456&gt;=90,"Highly Satisfied",IF(K456&gt;=75,"Satisfied",IF(K456&gt;=60,"Neutral","Dissatisfied")))</f>
        <v>Satisfied</v>
      </c>
      <c r="R456" s="8" t="str">
        <f aca="false">UPPER(LEFT(TRIM(J456),1))&amp;LOWER(MID(TRIM(J456),2,100))</f>
        <v>Gold</v>
      </c>
      <c r="S456" s="8" t="str">
        <f aca="false">IF(I456="High","Positive",IF(I456="Medium","Neutral","Negative"))</f>
        <v>Positive</v>
      </c>
      <c r="T456" s="8" t="str">
        <f aca="false">IF(AND(E456&gt;=80000,H456&gt;=15),"Premium",IF(AND(E456&gt;=50000,H456&gt;=10),"Standard","Basic"))</f>
        <v>Basic</v>
      </c>
      <c r="U456" s="8" t="str">
        <f aca="false">IF(AND(F456&gt;=7,G456&gt;=7),"High Quality Experience","Review Needed")</f>
        <v>Review Needed</v>
      </c>
      <c r="V456" s="8" t="str">
        <f aca="false">IF(H456&gt;=10,"Repeat Buyer","Occasional Buyer")</f>
        <v>Occasional Buyer</v>
      </c>
      <c r="W456" s="8" t="str">
        <f aca="false">IF(AND(K456&lt;70,I456="Low"),"At Risk","Stable")</f>
        <v>Stable</v>
      </c>
      <c r="X456" s="8" t="str">
        <f aca="false">IF(AND(K456&lt;75,I456="Low",J456="Bronze"),"Priority Followup","No Action")</f>
        <v>No Action</v>
      </c>
    </row>
    <row r="457" customFormat="false" ht="15" hidden="false" customHeight="false" outlineLevel="0" collapsed="false">
      <c r="A457" s="3" t="n">
        <v>455</v>
      </c>
      <c r="B457" s="3" t="n">
        <v>59</v>
      </c>
      <c r="C457" s="3" t="s">
        <v>17</v>
      </c>
      <c r="D457" s="3" t="s">
        <v>12</v>
      </c>
      <c r="E457" s="3" t="n">
        <v>65897</v>
      </c>
      <c r="F457" s="3" t="n">
        <v>4</v>
      </c>
      <c r="G457" s="3" t="n">
        <v>9</v>
      </c>
      <c r="H457" s="3" t="n">
        <v>4</v>
      </c>
      <c r="I457" s="3" t="s">
        <v>21</v>
      </c>
      <c r="J457" s="3" t="s">
        <v>14</v>
      </c>
      <c r="K457" s="3" t="n">
        <v>88.83</v>
      </c>
      <c r="L457" s="7" t="str">
        <f aca="false">IF(B457&lt;25,"Gen Z",IF(B457&lt;40,"Millennial",IF(B457&lt;55,"Gen X","Baby Boomer")))</f>
        <v>Baby Boomer</v>
      </c>
      <c r="M457" s="7" t="str">
        <f aca="false">IF(E457&lt;50000,"Low Income",IF(E457&lt;80000,"Middle Income",IF(E457&lt;100000,"Upper Middle","High Income")))</f>
        <v>Middle Income</v>
      </c>
      <c r="N457" s="7" t="str">
        <f aca="false">IF(F457&lt;=3,"Poor",IF(F457&lt;=6,"Average",IF(F457&lt;=8,"Good","Excellent")))</f>
        <v>Average</v>
      </c>
      <c r="O457" s="7" t="str">
        <f aca="false">IF(G457&lt;=3,"Poor",IF(G457&lt;=6,"Average",IF(G457&lt;=8,"Good","Excellent")))</f>
        <v>Excellent</v>
      </c>
      <c r="P457" s="7" t="str">
        <f aca="false">IF(H457&lt;=5,"Low Frequency",IF(H457&lt;=10,"Moderate",IF(H457&lt;=15,"High","Very High")))</f>
        <v>Low Frequency</v>
      </c>
      <c r="Q457" s="7" t="str">
        <f aca="false">IF(K457&gt;=90,"Highly Satisfied",IF(K457&gt;=75,"Satisfied",IF(K457&gt;=60,"Neutral","Dissatisfied")))</f>
        <v>Satisfied</v>
      </c>
      <c r="R457" s="7" t="str">
        <f aca="false">UPPER(LEFT(TRIM(J457),1))&amp;LOWER(MID(TRIM(J457),2,100))</f>
        <v>Bronze</v>
      </c>
      <c r="S457" s="7" t="str">
        <f aca="false">IF(I457="High","Positive",IF(I457="Medium","Neutral","Negative"))</f>
        <v>Positive</v>
      </c>
      <c r="T457" s="7" t="str">
        <f aca="false">IF(AND(E457&gt;=80000,H457&gt;=15),"Premium",IF(AND(E457&gt;=50000,H457&gt;=10),"Standard","Basic"))</f>
        <v>Basic</v>
      </c>
      <c r="U457" s="7" t="str">
        <f aca="false">IF(AND(F457&gt;=7,G457&gt;=7),"High Quality Experience","Review Needed")</f>
        <v>Review Needed</v>
      </c>
      <c r="V457" s="7" t="str">
        <f aca="false">IF(H457&gt;=10,"Repeat Buyer","Occasional Buyer")</f>
        <v>Occasional Buyer</v>
      </c>
      <c r="W457" s="7" t="str">
        <f aca="false">IF(AND(K457&lt;70,I457="Low"),"At Risk","Stable")</f>
        <v>Stable</v>
      </c>
      <c r="X457" s="7" t="str">
        <f aca="false">IF(AND(K457&lt;75,I457="Low",J457="Bronze"),"Priority Followup","No Action")</f>
        <v>No Action</v>
      </c>
    </row>
    <row r="458" customFormat="false" ht="15" hidden="false" customHeight="false" outlineLevel="0" collapsed="false">
      <c r="A458" s="2" t="n">
        <v>456</v>
      </c>
      <c r="B458" s="2" t="n">
        <v>23</v>
      </c>
      <c r="C458" s="2" t="s">
        <v>17</v>
      </c>
      <c r="D458" s="2" t="s">
        <v>18</v>
      </c>
      <c r="E458" s="2" t="n">
        <v>90011</v>
      </c>
      <c r="F458" s="2" t="n">
        <v>4</v>
      </c>
      <c r="G458" s="2" t="n">
        <v>7</v>
      </c>
      <c r="H458" s="2" t="n">
        <v>5</v>
      </c>
      <c r="I458" s="2" t="s">
        <v>13</v>
      </c>
      <c r="J458" s="2" t="s">
        <v>19</v>
      </c>
      <c r="K458" s="2" t="n">
        <v>91.82</v>
      </c>
      <c r="L458" s="8" t="str">
        <f aca="false">IF(B458&lt;25,"Gen Z",IF(B458&lt;40,"Millennial",IF(B458&lt;55,"Gen X","Baby Boomer")))</f>
        <v>Gen Z</v>
      </c>
      <c r="M458" s="8" t="str">
        <f aca="false">IF(E458&lt;50000,"Low Income",IF(E458&lt;80000,"Middle Income",IF(E458&lt;100000,"Upper Middle","High Income")))</f>
        <v>Upper Middle</v>
      </c>
      <c r="N458" s="8" t="str">
        <f aca="false">IF(F458&lt;=3,"Poor",IF(F458&lt;=6,"Average",IF(F458&lt;=8,"Good","Excellent")))</f>
        <v>Average</v>
      </c>
      <c r="O458" s="8" t="str">
        <f aca="false">IF(G458&lt;=3,"Poor",IF(G458&lt;=6,"Average",IF(G458&lt;=8,"Good","Excellent")))</f>
        <v>Good</v>
      </c>
      <c r="P458" s="8" t="str">
        <f aca="false">IF(H458&lt;=5,"Low Frequency",IF(H458&lt;=10,"Moderate",IF(H458&lt;=15,"High","Very High")))</f>
        <v>Low Frequency</v>
      </c>
      <c r="Q458" s="8" t="str">
        <f aca="false">IF(K458&gt;=90,"Highly Satisfied",IF(K458&gt;=75,"Satisfied",IF(K458&gt;=60,"Neutral","Dissatisfied")))</f>
        <v>Highly Satisfied</v>
      </c>
      <c r="R458" s="8" t="str">
        <f aca="false">UPPER(LEFT(TRIM(J458),1))&amp;LOWER(MID(TRIM(J458),2,100))</f>
        <v>Silver</v>
      </c>
      <c r="S458" s="8" t="str">
        <f aca="false">IF(I458="High","Positive",IF(I458="Medium","Neutral","Negative"))</f>
        <v>Negative</v>
      </c>
      <c r="T458" s="8" t="str">
        <f aca="false">IF(AND(E458&gt;=80000,H458&gt;=15),"Premium",IF(AND(E458&gt;=50000,H458&gt;=10),"Standard","Basic"))</f>
        <v>Basic</v>
      </c>
      <c r="U458" s="8" t="str">
        <f aca="false">IF(AND(F458&gt;=7,G458&gt;=7),"High Quality Experience","Review Needed")</f>
        <v>Review Needed</v>
      </c>
      <c r="V458" s="8" t="str">
        <f aca="false">IF(H458&gt;=10,"Repeat Buyer","Occasional Buyer")</f>
        <v>Occasional Buyer</v>
      </c>
      <c r="W458" s="8" t="str">
        <f aca="false">IF(AND(K458&lt;70,I458="Low"),"At Risk","Stable")</f>
        <v>Stable</v>
      </c>
      <c r="X458" s="8" t="str">
        <f aca="false">IF(AND(K458&lt;75,I458="Low",J458="Bronze"),"Priority Followup","No Action")</f>
        <v>No Action</v>
      </c>
    </row>
    <row r="459" customFormat="false" ht="15" hidden="false" customHeight="false" outlineLevel="0" collapsed="false">
      <c r="A459" s="3" t="n">
        <v>457</v>
      </c>
      <c r="B459" s="3" t="n">
        <v>32</v>
      </c>
      <c r="C459" s="3" t="s">
        <v>11</v>
      </c>
      <c r="D459" s="3" t="s">
        <v>20</v>
      </c>
      <c r="E459" s="3" t="n">
        <v>79043</v>
      </c>
      <c r="F459" s="3" t="n">
        <v>9</v>
      </c>
      <c r="G459" s="3" t="n">
        <v>2</v>
      </c>
      <c r="H459" s="3" t="n">
        <v>19</v>
      </c>
      <c r="I459" s="3" t="s">
        <v>21</v>
      </c>
      <c r="J459" s="3" t="s">
        <v>19</v>
      </c>
      <c r="K459" s="3" t="n">
        <v>76.74</v>
      </c>
      <c r="L459" s="7" t="str">
        <f aca="false">IF(B459&lt;25,"Gen Z",IF(B459&lt;40,"Millennial",IF(B459&lt;55,"Gen X","Baby Boomer")))</f>
        <v>Millennial</v>
      </c>
      <c r="M459" s="7" t="str">
        <f aca="false">IF(E459&lt;50000,"Low Income",IF(E459&lt;80000,"Middle Income",IF(E459&lt;100000,"Upper Middle","High Income")))</f>
        <v>Middle Income</v>
      </c>
      <c r="N459" s="7" t="str">
        <f aca="false">IF(F459&lt;=3,"Poor",IF(F459&lt;=6,"Average",IF(F459&lt;=8,"Good","Excellent")))</f>
        <v>Excellent</v>
      </c>
      <c r="O459" s="7" t="str">
        <f aca="false">IF(G459&lt;=3,"Poor",IF(G459&lt;=6,"Average",IF(G459&lt;=8,"Good","Excellent")))</f>
        <v>Poor</v>
      </c>
      <c r="P459" s="7" t="str">
        <f aca="false">IF(H459&lt;=5,"Low Frequency",IF(H459&lt;=10,"Moderate",IF(H459&lt;=15,"High","Very High")))</f>
        <v>Very High</v>
      </c>
      <c r="Q459" s="7" t="str">
        <f aca="false">IF(K459&gt;=90,"Highly Satisfied",IF(K459&gt;=75,"Satisfied",IF(K459&gt;=60,"Neutral","Dissatisfied")))</f>
        <v>Satisfied</v>
      </c>
      <c r="R459" s="7" t="str">
        <f aca="false">UPPER(LEFT(TRIM(J459),1))&amp;LOWER(MID(TRIM(J459),2,100))</f>
        <v>Silver</v>
      </c>
      <c r="S459" s="7" t="str">
        <f aca="false">IF(I459="High","Positive",IF(I459="Medium","Neutral","Negative"))</f>
        <v>Positive</v>
      </c>
      <c r="T459" s="7" t="str">
        <f aca="false">IF(AND(E459&gt;=80000,H459&gt;=15),"Premium",IF(AND(E459&gt;=50000,H459&gt;=10),"Standard","Basic"))</f>
        <v>Standard</v>
      </c>
      <c r="U459" s="7" t="str">
        <f aca="false">IF(AND(F459&gt;=7,G459&gt;=7),"High Quality Experience","Review Needed")</f>
        <v>Review Needed</v>
      </c>
      <c r="V459" s="7" t="str">
        <f aca="false">IF(H459&gt;=10,"Repeat Buyer","Occasional Buyer")</f>
        <v>Repeat Buyer</v>
      </c>
      <c r="W459" s="7" t="str">
        <f aca="false">IF(AND(K459&lt;70,I459="Low"),"At Risk","Stable")</f>
        <v>Stable</v>
      </c>
      <c r="X459" s="7" t="str">
        <f aca="false">IF(AND(K459&lt;75,I459="Low",J459="Bronze"),"Priority Followup","No Action")</f>
        <v>No Action</v>
      </c>
    </row>
    <row r="460" customFormat="false" ht="15" hidden="false" customHeight="false" outlineLevel="0" collapsed="false">
      <c r="A460" s="2" t="n">
        <v>458</v>
      </c>
      <c r="B460" s="2" t="n">
        <v>60</v>
      </c>
      <c r="C460" s="2" t="s">
        <v>17</v>
      </c>
      <c r="D460" s="2" t="s">
        <v>20</v>
      </c>
      <c r="E460" s="2" t="n">
        <v>89665</v>
      </c>
      <c r="F460" s="2" t="n">
        <v>4</v>
      </c>
      <c r="G460" s="2" t="n">
        <v>9</v>
      </c>
      <c r="H460" s="2" t="n">
        <v>12</v>
      </c>
      <c r="I460" s="2" t="s">
        <v>21</v>
      </c>
      <c r="J460" s="2" t="s">
        <v>16</v>
      </c>
      <c r="K460" s="2" t="n">
        <v>99.01</v>
      </c>
      <c r="L460" s="8" t="str">
        <f aca="false">IF(B460&lt;25,"Gen Z",IF(B460&lt;40,"Millennial",IF(B460&lt;55,"Gen X","Baby Boomer")))</f>
        <v>Baby Boomer</v>
      </c>
      <c r="M460" s="8" t="str">
        <f aca="false">IF(E460&lt;50000,"Low Income",IF(E460&lt;80000,"Middle Income",IF(E460&lt;100000,"Upper Middle","High Income")))</f>
        <v>Upper Middle</v>
      </c>
      <c r="N460" s="8" t="str">
        <f aca="false">IF(F460&lt;=3,"Poor",IF(F460&lt;=6,"Average",IF(F460&lt;=8,"Good","Excellent")))</f>
        <v>Average</v>
      </c>
      <c r="O460" s="8" t="str">
        <f aca="false">IF(G460&lt;=3,"Poor",IF(G460&lt;=6,"Average",IF(G460&lt;=8,"Good","Excellent")))</f>
        <v>Excellent</v>
      </c>
      <c r="P460" s="8" t="str">
        <f aca="false">IF(H460&lt;=5,"Low Frequency",IF(H460&lt;=10,"Moderate",IF(H460&lt;=15,"High","Very High")))</f>
        <v>High</v>
      </c>
      <c r="Q460" s="8" t="str">
        <f aca="false">IF(K460&gt;=90,"Highly Satisfied",IF(K460&gt;=75,"Satisfied",IF(K460&gt;=60,"Neutral","Dissatisfied")))</f>
        <v>Highly Satisfied</v>
      </c>
      <c r="R460" s="8" t="str">
        <f aca="false">UPPER(LEFT(TRIM(J460),1))&amp;LOWER(MID(TRIM(J460),2,100))</f>
        <v>Gold</v>
      </c>
      <c r="S460" s="8" t="str">
        <f aca="false">IF(I460="High","Positive",IF(I460="Medium","Neutral","Negative"))</f>
        <v>Positive</v>
      </c>
      <c r="T460" s="8" t="str">
        <f aca="false">IF(AND(E460&gt;=80000,H460&gt;=15),"Premium",IF(AND(E460&gt;=50000,H460&gt;=10),"Standard","Basic"))</f>
        <v>Standard</v>
      </c>
      <c r="U460" s="8" t="str">
        <f aca="false">IF(AND(F460&gt;=7,G460&gt;=7),"High Quality Experience","Review Needed")</f>
        <v>Review Needed</v>
      </c>
      <c r="V460" s="8" t="str">
        <f aca="false">IF(H460&gt;=10,"Repeat Buyer","Occasional Buyer")</f>
        <v>Repeat Buyer</v>
      </c>
      <c r="W460" s="8" t="str">
        <f aca="false">IF(AND(K460&lt;70,I460="Low"),"At Risk","Stable")</f>
        <v>Stable</v>
      </c>
      <c r="X460" s="8" t="str">
        <f aca="false">IF(AND(K460&lt;75,I460="Low",J460="Bronze"),"Priority Followup","No Action")</f>
        <v>No Action</v>
      </c>
    </row>
    <row r="461" customFormat="false" ht="15" hidden="false" customHeight="false" outlineLevel="0" collapsed="false">
      <c r="A461" s="3" t="n">
        <v>459</v>
      </c>
      <c r="B461" s="3" t="n">
        <v>54</v>
      </c>
      <c r="C461" s="3" t="s">
        <v>11</v>
      </c>
      <c r="D461" s="3" t="s">
        <v>12</v>
      </c>
      <c r="E461" s="3" t="n">
        <v>73692</v>
      </c>
      <c r="F461" s="3" t="n">
        <v>2</v>
      </c>
      <c r="G461" s="3" t="n">
        <v>4</v>
      </c>
      <c r="H461" s="3" t="n">
        <v>12</v>
      </c>
      <c r="I461" s="3" t="s">
        <v>21</v>
      </c>
      <c r="J461" s="3" t="s">
        <v>16</v>
      </c>
      <c r="K461" s="3" t="n">
        <v>65.82</v>
      </c>
      <c r="L461" s="7" t="str">
        <f aca="false">IF(B461&lt;25,"Gen Z",IF(B461&lt;40,"Millennial",IF(B461&lt;55,"Gen X","Baby Boomer")))</f>
        <v>Gen X</v>
      </c>
      <c r="M461" s="7" t="str">
        <f aca="false">IF(E461&lt;50000,"Low Income",IF(E461&lt;80000,"Middle Income",IF(E461&lt;100000,"Upper Middle","High Income")))</f>
        <v>Middle Income</v>
      </c>
      <c r="N461" s="7" t="str">
        <f aca="false">IF(F461&lt;=3,"Poor",IF(F461&lt;=6,"Average",IF(F461&lt;=8,"Good","Excellent")))</f>
        <v>Poor</v>
      </c>
      <c r="O461" s="7" t="str">
        <f aca="false">IF(G461&lt;=3,"Poor",IF(G461&lt;=6,"Average",IF(G461&lt;=8,"Good","Excellent")))</f>
        <v>Average</v>
      </c>
      <c r="P461" s="7" t="str">
        <f aca="false">IF(H461&lt;=5,"Low Frequency",IF(H461&lt;=10,"Moderate",IF(H461&lt;=15,"High","Very High")))</f>
        <v>High</v>
      </c>
      <c r="Q461" s="7" t="str">
        <f aca="false">IF(K461&gt;=90,"Highly Satisfied",IF(K461&gt;=75,"Satisfied",IF(K461&gt;=60,"Neutral","Dissatisfied")))</f>
        <v>Neutral</v>
      </c>
      <c r="R461" s="7" t="str">
        <f aca="false">UPPER(LEFT(TRIM(J461),1))&amp;LOWER(MID(TRIM(J461),2,100))</f>
        <v>Gold</v>
      </c>
      <c r="S461" s="7" t="str">
        <f aca="false">IF(I461="High","Positive",IF(I461="Medium","Neutral","Negative"))</f>
        <v>Positive</v>
      </c>
      <c r="T461" s="7" t="str">
        <f aca="false">IF(AND(E461&gt;=80000,H461&gt;=15),"Premium",IF(AND(E461&gt;=50000,H461&gt;=10),"Standard","Basic"))</f>
        <v>Standard</v>
      </c>
      <c r="U461" s="7" t="str">
        <f aca="false">IF(AND(F461&gt;=7,G461&gt;=7),"High Quality Experience","Review Needed")</f>
        <v>Review Needed</v>
      </c>
      <c r="V461" s="7" t="str">
        <f aca="false">IF(H461&gt;=10,"Repeat Buyer","Occasional Buyer")</f>
        <v>Repeat Buyer</v>
      </c>
      <c r="W461" s="7" t="str">
        <f aca="false">IF(AND(K461&lt;70,I461="Low"),"At Risk","Stable")</f>
        <v>Stable</v>
      </c>
      <c r="X461" s="7" t="str">
        <f aca="false">IF(AND(K461&lt;75,I461="Low",J461="Bronze"),"Priority Followup","No Action")</f>
        <v>No Action</v>
      </c>
    </row>
    <row r="462" customFormat="false" ht="15" hidden="false" customHeight="false" outlineLevel="0" collapsed="false">
      <c r="A462" s="2" t="n">
        <v>460</v>
      </c>
      <c r="B462" s="2" t="n">
        <v>50</v>
      </c>
      <c r="C462" s="2" t="s">
        <v>11</v>
      </c>
      <c r="D462" s="2" t="s">
        <v>22</v>
      </c>
      <c r="E462" s="2" t="n">
        <v>41386</v>
      </c>
      <c r="F462" s="2" t="n">
        <v>5</v>
      </c>
      <c r="G462" s="2" t="n">
        <v>6</v>
      </c>
      <c r="H462" s="2" t="n">
        <v>20</v>
      </c>
      <c r="I462" s="2" t="s">
        <v>21</v>
      </c>
      <c r="J462" s="2" t="s">
        <v>14</v>
      </c>
      <c r="K462" s="2" t="n">
        <v>96.38</v>
      </c>
      <c r="L462" s="8" t="str">
        <f aca="false">IF(B462&lt;25,"Gen Z",IF(B462&lt;40,"Millennial",IF(B462&lt;55,"Gen X","Baby Boomer")))</f>
        <v>Gen X</v>
      </c>
      <c r="M462" s="8" t="str">
        <f aca="false">IF(E462&lt;50000,"Low Income",IF(E462&lt;80000,"Middle Income",IF(E462&lt;100000,"Upper Middle","High Income")))</f>
        <v>Low Income</v>
      </c>
      <c r="N462" s="8" t="str">
        <f aca="false">IF(F462&lt;=3,"Poor",IF(F462&lt;=6,"Average",IF(F462&lt;=8,"Good","Excellent")))</f>
        <v>Average</v>
      </c>
      <c r="O462" s="8" t="str">
        <f aca="false">IF(G462&lt;=3,"Poor",IF(G462&lt;=6,"Average",IF(G462&lt;=8,"Good","Excellent")))</f>
        <v>Average</v>
      </c>
      <c r="P462" s="8" t="str">
        <f aca="false">IF(H462&lt;=5,"Low Frequency",IF(H462&lt;=10,"Moderate",IF(H462&lt;=15,"High","Very High")))</f>
        <v>Very High</v>
      </c>
      <c r="Q462" s="8" t="str">
        <f aca="false">IF(K462&gt;=90,"Highly Satisfied",IF(K462&gt;=75,"Satisfied",IF(K462&gt;=60,"Neutral","Dissatisfied")))</f>
        <v>Highly Satisfied</v>
      </c>
      <c r="R462" s="8" t="str">
        <f aca="false">UPPER(LEFT(TRIM(J462),1))&amp;LOWER(MID(TRIM(J462),2,100))</f>
        <v>Bronze</v>
      </c>
      <c r="S462" s="8" t="str">
        <f aca="false">IF(I462="High","Positive",IF(I462="Medium","Neutral","Negative"))</f>
        <v>Positive</v>
      </c>
      <c r="T462" s="8" t="str">
        <f aca="false">IF(AND(E462&gt;=80000,H462&gt;=15),"Premium",IF(AND(E462&gt;=50000,H462&gt;=10),"Standard","Basic"))</f>
        <v>Basic</v>
      </c>
      <c r="U462" s="8" t="str">
        <f aca="false">IF(AND(F462&gt;=7,G462&gt;=7),"High Quality Experience","Review Needed")</f>
        <v>Review Needed</v>
      </c>
      <c r="V462" s="8" t="str">
        <f aca="false">IF(H462&gt;=10,"Repeat Buyer","Occasional Buyer")</f>
        <v>Repeat Buyer</v>
      </c>
      <c r="W462" s="8" t="str">
        <f aca="false">IF(AND(K462&lt;70,I462="Low"),"At Risk","Stable")</f>
        <v>Stable</v>
      </c>
      <c r="X462" s="8" t="str">
        <f aca="false">IF(AND(K462&lt;75,I462="Low",J462="Bronze"),"Priority Followup","No Action")</f>
        <v>No Action</v>
      </c>
    </row>
    <row r="463" customFormat="false" ht="15" hidden="false" customHeight="false" outlineLevel="0" collapsed="false">
      <c r="A463" s="3" t="n">
        <v>461</v>
      </c>
      <c r="B463" s="3" t="n">
        <v>25</v>
      </c>
      <c r="C463" s="3" t="s">
        <v>11</v>
      </c>
      <c r="D463" s="3" t="s">
        <v>18</v>
      </c>
      <c r="E463" s="3" t="n">
        <v>114115</v>
      </c>
      <c r="F463" s="3" t="n">
        <v>2</v>
      </c>
      <c r="G463" s="3" t="n">
        <v>8</v>
      </c>
      <c r="H463" s="3" t="n">
        <v>1</v>
      </c>
      <c r="I463" s="3" t="s">
        <v>13</v>
      </c>
      <c r="J463" s="3" t="s">
        <v>16</v>
      </c>
      <c r="K463" s="3" t="n">
        <v>89.5</v>
      </c>
      <c r="L463" s="7" t="str">
        <f aca="false">IF(B463&lt;25,"Gen Z",IF(B463&lt;40,"Millennial",IF(B463&lt;55,"Gen X","Baby Boomer")))</f>
        <v>Millennial</v>
      </c>
      <c r="M463" s="7" t="str">
        <f aca="false">IF(E463&lt;50000,"Low Income",IF(E463&lt;80000,"Middle Income",IF(E463&lt;100000,"Upper Middle","High Income")))</f>
        <v>High Income</v>
      </c>
      <c r="N463" s="7" t="str">
        <f aca="false">IF(F463&lt;=3,"Poor",IF(F463&lt;=6,"Average",IF(F463&lt;=8,"Good","Excellent")))</f>
        <v>Poor</v>
      </c>
      <c r="O463" s="7" t="str">
        <f aca="false">IF(G463&lt;=3,"Poor",IF(G463&lt;=6,"Average",IF(G463&lt;=8,"Good","Excellent")))</f>
        <v>Good</v>
      </c>
      <c r="P463" s="7" t="str">
        <f aca="false">IF(H463&lt;=5,"Low Frequency",IF(H463&lt;=10,"Moderate",IF(H463&lt;=15,"High","Very High")))</f>
        <v>Low Frequency</v>
      </c>
      <c r="Q463" s="7" t="str">
        <f aca="false">IF(K463&gt;=90,"Highly Satisfied",IF(K463&gt;=75,"Satisfied",IF(K463&gt;=60,"Neutral","Dissatisfied")))</f>
        <v>Satisfied</v>
      </c>
      <c r="R463" s="7" t="str">
        <f aca="false">UPPER(LEFT(TRIM(J463),1))&amp;LOWER(MID(TRIM(J463),2,100))</f>
        <v>Gold</v>
      </c>
      <c r="S463" s="7" t="str">
        <f aca="false">IF(I463="High","Positive",IF(I463="Medium","Neutral","Negative"))</f>
        <v>Negative</v>
      </c>
      <c r="T463" s="7" t="str">
        <f aca="false">IF(AND(E463&gt;=80000,H463&gt;=15),"Premium",IF(AND(E463&gt;=50000,H463&gt;=10),"Standard","Basic"))</f>
        <v>Basic</v>
      </c>
      <c r="U463" s="7" t="str">
        <f aca="false">IF(AND(F463&gt;=7,G463&gt;=7),"High Quality Experience","Review Needed")</f>
        <v>Review Needed</v>
      </c>
      <c r="V463" s="7" t="str">
        <f aca="false">IF(H463&gt;=10,"Repeat Buyer","Occasional Buyer")</f>
        <v>Occasional Buyer</v>
      </c>
      <c r="W463" s="7" t="str">
        <f aca="false">IF(AND(K463&lt;70,I463="Low"),"At Risk","Stable")</f>
        <v>Stable</v>
      </c>
      <c r="X463" s="7" t="str">
        <f aca="false">IF(AND(K463&lt;75,I463="Low",J463="Bronze"),"Priority Followup","No Action")</f>
        <v>No Action</v>
      </c>
    </row>
    <row r="464" customFormat="false" ht="15" hidden="false" customHeight="false" outlineLevel="0" collapsed="false">
      <c r="A464" s="2" t="n">
        <v>462</v>
      </c>
      <c r="B464" s="2" t="n">
        <v>61</v>
      </c>
      <c r="C464" s="2" t="s">
        <v>11</v>
      </c>
      <c r="D464" s="2" t="s">
        <v>22</v>
      </c>
      <c r="E464" s="2" t="n">
        <v>110184</v>
      </c>
      <c r="F464" s="2" t="n">
        <v>5</v>
      </c>
      <c r="G464" s="2" t="n">
        <v>4</v>
      </c>
      <c r="H464" s="2" t="n">
        <v>15</v>
      </c>
      <c r="I464" s="2" t="s">
        <v>13</v>
      </c>
      <c r="J464" s="2" t="s">
        <v>14</v>
      </c>
      <c r="K464" s="2" t="n">
        <v>100</v>
      </c>
      <c r="L464" s="8" t="str">
        <f aca="false">IF(B464&lt;25,"Gen Z",IF(B464&lt;40,"Millennial",IF(B464&lt;55,"Gen X","Baby Boomer")))</f>
        <v>Baby Boomer</v>
      </c>
      <c r="M464" s="8" t="str">
        <f aca="false">IF(E464&lt;50000,"Low Income",IF(E464&lt;80000,"Middle Income",IF(E464&lt;100000,"Upper Middle","High Income")))</f>
        <v>High Income</v>
      </c>
      <c r="N464" s="8" t="str">
        <f aca="false">IF(F464&lt;=3,"Poor",IF(F464&lt;=6,"Average",IF(F464&lt;=8,"Good","Excellent")))</f>
        <v>Average</v>
      </c>
      <c r="O464" s="8" t="str">
        <f aca="false">IF(G464&lt;=3,"Poor",IF(G464&lt;=6,"Average",IF(G464&lt;=8,"Good","Excellent")))</f>
        <v>Average</v>
      </c>
      <c r="P464" s="8" t="str">
        <f aca="false">IF(H464&lt;=5,"Low Frequency",IF(H464&lt;=10,"Moderate",IF(H464&lt;=15,"High","Very High")))</f>
        <v>High</v>
      </c>
      <c r="Q464" s="8" t="str">
        <f aca="false">IF(K464&gt;=90,"Highly Satisfied",IF(K464&gt;=75,"Satisfied",IF(K464&gt;=60,"Neutral","Dissatisfied")))</f>
        <v>Highly Satisfied</v>
      </c>
      <c r="R464" s="8" t="str">
        <f aca="false">UPPER(LEFT(TRIM(J464),1))&amp;LOWER(MID(TRIM(J464),2,100))</f>
        <v>Bronze</v>
      </c>
      <c r="S464" s="8" t="str">
        <f aca="false">IF(I464="High","Positive",IF(I464="Medium","Neutral","Negative"))</f>
        <v>Negative</v>
      </c>
      <c r="T464" s="8" t="str">
        <f aca="false">IF(AND(E464&gt;=80000,H464&gt;=15),"Premium",IF(AND(E464&gt;=50000,H464&gt;=10),"Standard","Basic"))</f>
        <v>Premium</v>
      </c>
      <c r="U464" s="8" t="str">
        <f aca="false">IF(AND(F464&gt;=7,G464&gt;=7),"High Quality Experience","Review Needed")</f>
        <v>Review Needed</v>
      </c>
      <c r="V464" s="8" t="str">
        <f aca="false">IF(H464&gt;=10,"Repeat Buyer","Occasional Buyer")</f>
        <v>Repeat Buyer</v>
      </c>
      <c r="W464" s="8" t="str">
        <f aca="false">IF(AND(K464&lt;70,I464="Low"),"At Risk","Stable")</f>
        <v>Stable</v>
      </c>
      <c r="X464" s="8" t="str">
        <f aca="false">IF(AND(K464&lt;75,I464="Low",J464="Bronze"),"Priority Followup","No Action")</f>
        <v>No Action</v>
      </c>
    </row>
    <row r="465" customFormat="false" ht="15" hidden="false" customHeight="false" outlineLevel="0" collapsed="false">
      <c r="A465" s="3" t="n">
        <v>463</v>
      </c>
      <c r="B465" s="3" t="n">
        <v>61</v>
      </c>
      <c r="C465" s="3" t="s">
        <v>11</v>
      </c>
      <c r="D465" s="3" t="s">
        <v>20</v>
      </c>
      <c r="E465" s="3" t="n">
        <v>80385</v>
      </c>
      <c r="F465" s="3" t="n">
        <v>7</v>
      </c>
      <c r="G465" s="3" t="n">
        <v>5</v>
      </c>
      <c r="H465" s="3" t="n">
        <v>10</v>
      </c>
      <c r="I465" s="3" t="s">
        <v>15</v>
      </c>
      <c r="J465" s="3" t="s">
        <v>19</v>
      </c>
      <c r="K465" s="3" t="n">
        <v>100</v>
      </c>
      <c r="L465" s="7" t="str">
        <f aca="false">IF(B465&lt;25,"Gen Z",IF(B465&lt;40,"Millennial",IF(B465&lt;55,"Gen X","Baby Boomer")))</f>
        <v>Baby Boomer</v>
      </c>
      <c r="M465" s="7" t="str">
        <f aca="false">IF(E465&lt;50000,"Low Income",IF(E465&lt;80000,"Middle Income",IF(E465&lt;100000,"Upper Middle","High Income")))</f>
        <v>Upper Middle</v>
      </c>
      <c r="N465" s="7" t="str">
        <f aca="false">IF(F465&lt;=3,"Poor",IF(F465&lt;=6,"Average",IF(F465&lt;=8,"Good","Excellent")))</f>
        <v>Good</v>
      </c>
      <c r="O465" s="7" t="str">
        <f aca="false">IF(G465&lt;=3,"Poor",IF(G465&lt;=6,"Average",IF(G465&lt;=8,"Good","Excellent")))</f>
        <v>Average</v>
      </c>
      <c r="P465" s="7" t="str">
        <f aca="false">IF(H465&lt;=5,"Low Frequency",IF(H465&lt;=10,"Moderate",IF(H465&lt;=15,"High","Very High")))</f>
        <v>Moderate</v>
      </c>
      <c r="Q465" s="7" t="str">
        <f aca="false">IF(K465&gt;=90,"Highly Satisfied",IF(K465&gt;=75,"Satisfied",IF(K465&gt;=60,"Neutral","Dissatisfied")))</f>
        <v>Highly Satisfied</v>
      </c>
      <c r="R465" s="7" t="str">
        <f aca="false">UPPER(LEFT(TRIM(J465),1))&amp;LOWER(MID(TRIM(J465),2,100))</f>
        <v>Silver</v>
      </c>
      <c r="S465" s="7" t="str">
        <f aca="false">IF(I465="High","Positive",IF(I465="Medium","Neutral","Negative"))</f>
        <v>Neutral</v>
      </c>
      <c r="T465" s="7" t="str">
        <f aca="false">IF(AND(E465&gt;=80000,H465&gt;=15),"Premium",IF(AND(E465&gt;=50000,H465&gt;=10),"Standard","Basic"))</f>
        <v>Standard</v>
      </c>
      <c r="U465" s="7" t="str">
        <f aca="false">IF(AND(F465&gt;=7,G465&gt;=7),"High Quality Experience","Review Needed")</f>
        <v>Review Needed</v>
      </c>
      <c r="V465" s="7" t="str">
        <f aca="false">IF(H465&gt;=10,"Repeat Buyer","Occasional Buyer")</f>
        <v>Repeat Buyer</v>
      </c>
      <c r="W465" s="7" t="str">
        <f aca="false">IF(AND(K465&lt;70,I465="Low"),"At Risk","Stable")</f>
        <v>Stable</v>
      </c>
      <c r="X465" s="7" t="str">
        <f aca="false">IF(AND(K465&lt;75,I465="Low",J465="Bronze"),"Priority Followup","No Action")</f>
        <v>No Action</v>
      </c>
    </row>
    <row r="466" customFormat="false" ht="15" hidden="false" customHeight="false" outlineLevel="0" collapsed="false">
      <c r="A466" s="2" t="n">
        <v>464</v>
      </c>
      <c r="B466" s="2" t="n">
        <v>22</v>
      </c>
      <c r="C466" s="2" t="s">
        <v>11</v>
      </c>
      <c r="D466" s="2" t="s">
        <v>23</v>
      </c>
      <c r="E466" s="2" t="n">
        <v>98340</v>
      </c>
      <c r="F466" s="2" t="n">
        <v>2</v>
      </c>
      <c r="G466" s="2" t="n">
        <v>7</v>
      </c>
      <c r="H466" s="2" t="n">
        <v>5</v>
      </c>
      <c r="I466" s="2" t="s">
        <v>21</v>
      </c>
      <c r="J466" s="2" t="s">
        <v>16</v>
      </c>
      <c r="K466" s="2" t="n">
        <v>95.2</v>
      </c>
      <c r="L466" s="8" t="str">
        <f aca="false">IF(B466&lt;25,"Gen Z",IF(B466&lt;40,"Millennial",IF(B466&lt;55,"Gen X","Baby Boomer")))</f>
        <v>Gen Z</v>
      </c>
      <c r="M466" s="8" t="str">
        <f aca="false">IF(E466&lt;50000,"Low Income",IF(E466&lt;80000,"Middle Income",IF(E466&lt;100000,"Upper Middle","High Income")))</f>
        <v>Upper Middle</v>
      </c>
      <c r="N466" s="8" t="str">
        <f aca="false">IF(F466&lt;=3,"Poor",IF(F466&lt;=6,"Average",IF(F466&lt;=8,"Good","Excellent")))</f>
        <v>Poor</v>
      </c>
      <c r="O466" s="8" t="str">
        <f aca="false">IF(G466&lt;=3,"Poor",IF(G466&lt;=6,"Average",IF(G466&lt;=8,"Good","Excellent")))</f>
        <v>Good</v>
      </c>
      <c r="P466" s="8" t="str">
        <f aca="false">IF(H466&lt;=5,"Low Frequency",IF(H466&lt;=10,"Moderate",IF(H466&lt;=15,"High","Very High")))</f>
        <v>Low Frequency</v>
      </c>
      <c r="Q466" s="8" t="str">
        <f aca="false">IF(K466&gt;=90,"Highly Satisfied",IF(K466&gt;=75,"Satisfied",IF(K466&gt;=60,"Neutral","Dissatisfied")))</f>
        <v>Highly Satisfied</v>
      </c>
      <c r="R466" s="8" t="str">
        <f aca="false">UPPER(LEFT(TRIM(J466),1))&amp;LOWER(MID(TRIM(J466),2,100))</f>
        <v>Gold</v>
      </c>
      <c r="S466" s="8" t="str">
        <f aca="false">IF(I466="High","Positive",IF(I466="Medium","Neutral","Negative"))</f>
        <v>Positive</v>
      </c>
      <c r="T466" s="8" t="str">
        <f aca="false">IF(AND(E466&gt;=80000,H466&gt;=15),"Premium",IF(AND(E466&gt;=50000,H466&gt;=10),"Standard","Basic"))</f>
        <v>Basic</v>
      </c>
      <c r="U466" s="8" t="str">
        <f aca="false">IF(AND(F466&gt;=7,G466&gt;=7),"High Quality Experience","Review Needed")</f>
        <v>Review Needed</v>
      </c>
      <c r="V466" s="8" t="str">
        <f aca="false">IF(H466&gt;=10,"Repeat Buyer","Occasional Buyer")</f>
        <v>Occasional Buyer</v>
      </c>
      <c r="W466" s="8" t="str">
        <f aca="false">IF(AND(K466&lt;70,I466="Low"),"At Risk","Stable")</f>
        <v>Stable</v>
      </c>
      <c r="X466" s="8" t="str">
        <f aca="false">IF(AND(K466&lt;75,I466="Low",J466="Bronze"),"Priority Followup","No Action")</f>
        <v>No Action</v>
      </c>
    </row>
    <row r="467" customFormat="false" ht="15" hidden="false" customHeight="false" outlineLevel="0" collapsed="false">
      <c r="A467" s="3" t="n">
        <v>465</v>
      </c>
      <c r="B467" s="3" t="n">
        <v>56</v>
      </c>
      <c r="C467" s="3" t="s">
        <v>11</v>
      </c>
      <c r="D467" s="3" t="s">
        <v>22</v>
      </c>
      <c r="E467" s="3" t="n">
        <v>116938</v>
      </c>
      <c r="F467" s="3" t="n">
        <v>9</v>
      </c>
      <c r="G467" s="3" t="n">
        <v>5</v>
      </c>
      <c r="H467" s="3" t="n">
        <v>1</v>
      </c>
      <c r="I467" s="3" t="s">
        <v>21</v>
      </c>
      <c r="J467" s="3" t="s">
        <v>16</v>
      </c>
      <c r="K467" s="3" t="n">
        <v>100</v>
      </c>
      <c r="L467" s="7" t="str">
        <f aca="false">IF(B467&lt;25,"Gen Z",IF(B467&lt;40,"Millennial",IF(B467&lt;55,"Gen X","Baby Boomer")))</f>
        <v>Baby Boomer</v>
      </c>
      <c r="M467" s="7" t="str">
        <f aca="false">IF(E467&lt;50000,"Low Income",IF(E467&lt;80000,"Middle Income",IF(E467&lt;100000,"Upper Middle","High Income")))</f>
        <v>High Income</v>
      </c>
      <c r="N467" s="7" t="str">
        <f aca="false">IF(F467&lt;=3,"Poor",IF(F467&lt;=6,"Average",IF(F467&lt;=8,"Good","Excellent")))</f>
        <v>Excellent</v>
      </c>
      <c r="O467" s="7" t="str">
        <f aca="false">IF(G467&lt;=3,"Poor",IF(G467&lt;=6,"Average",IF(G467&lt;=8,"Good","Excellent")))</f>
        <v>Average</v>
      </c>
      <c r="P467" s="7" t="str">
        <f aca="false">IF(H467&lt;=5,"Low Frequency",IF(H467&lt;=10,"Moderate",IF(H467&lt;=15,"High","Very High")))</f>
        <v>Low Frequency</v>
      </c>
      <c r="Q467" s="7" t="str">
        <f aca="false">IF(K467&gt;=90,"Highly Satisfied",IF(K467&gt;=75,"Satisfied",IF(K467&gt;=60,"Neutral","Dissatisfied")))</f>
        <v>Highly Satisfied</v>
      </c>
      <c r="R467" s="7" t="str">
        <f aca="false">UPPER(LEFT(TRIM(J467),1))&amp;LOWER(MID(TRIM(J467),2,100))</f>
        <v>Gold</v>
      </c>
      <c r="S467" s="7" t="str">
        <f aca="false">IF(I467="High","Positive",IF(I467="Medium","Neutral","Negative"))</f>
        <v>Positive</v>
      </c>
      <c r="T467" s="7" t="str">
        <f aca="false">IF(AND(E467&gt;=80000,H467&gt;=15),"Premium",IF(AND(E467&gt;=50000,H467&gt;=10),"Standard","Basic"))</f>
        <v>Basic</v>
      </c>
      <c r="U467" s="7" t="str">
        <f aca="false">IF(AND(F467&gt;=7,G467&gt;=7),"High Quality Experience","Review Needed")</f>
        <v>Review Needed</v>
      </c>
      <c r="V467" s="7" t="str">
        <f aca="false">IF(H467&gt;=10,"Repeat Buyer","Occasional Buyer")</f>
        <v>Occasional Buyer</v>
      </c>
      <c r="W467" s="7" t="str">
        <f aca="false">IF(AND(K467&lt;70,I467="Low"),"At Risk","Stable")</f>
        <v>Stable</v>
      </c>
      <c r="X467" s="7" t="str">
        <f aca="false">IF(AND(K467&lt;75,I467="Low",J467="Bronze"),"Priority Followup","No Action")</f>
        <v>No Action</v>
      </c>
    </row>
    <row r="468" customFormat="false" ht="15" hidden="false" customHeight="false" outlineLevel="0" collapsed="false">
      <c r="A468" s="2" t="n">
        <v>466</v>
      </c>
      <c r="B468" s="2" t="n">
        <v>21</v>
      </c>
      <c r="C468" s="2" t="s">
        <v>17</v>
      </c>
      <c r="D468" s="2" t="s">
        <v>23</v>
      </c>
      <c r="E468" s="2" t="n">
        <v>77377</v>
      </c>
      <c r="F468" s="2" t="n">
        <v>1</v>
      </c>
      <c r="G468" s="2" t="n">
        <v>4</v>
      </c>
      <c r="H468" s="2" t="n">
        <v>10</v>
      </c>
      <c r="I468" s="2" t="s">
        <v>15</v>
      </c>
      <c r="J468" s="2" t="s">
        <v>19</v>
      </c>
      <c r="K468" s="2" t="n">
        <v>44.34</v>
      </c>
      <c r="L468" s="8" t="str">
        <f aca="false">IF(B468&lt;25,"Gen Z",IF(B468&lt;40,"Millennial",IF(B468&lt;55,"Gen X","Baby Boomer")))</f>
        <v>Gen Z</v>
      </c>
      <c r="M468" s="8" t="str">
        <f aca="false">IF(E468&lt;50000,"Low Income",IF(E468&lt;80000,"Middle Income",IF(E468&lt;100000,"Upper Middle","High Income")))</f>
        <v>Middle Income</v>
      </c>
      <c r="N468" s="8" t="str">
        <f aca="false">IF(F468&lt;=3,"Poor",IF(F468&lt;=6,"Average",IF(F468&lt;=8,"Good","Excellent")))</f>
        <v>Poor</v>
      </c>
      <c r="O468" s="8" t="str">
        <f aca="false">IF(G468&lt;=3,"Poor",IF(G468&lt;=6,"Average",IF(G468&lt;=8,"Good","Excellent")))</f>
        <v>Average</v>
      </c>
      <c r="P468" s="8" t="str">
        <f aca="false">IF(H468&lt;=5,"Low Frequency",IF(H468&lt;=10,"Moderate",IF(H468&lt;=15,"High","Very High")))</f>
        <v>Moderate</v>
      </c>
      <c r="Q468" s="8" t="str">
        <f aca="false">IF(K468&gt;=90,"Highly Satisfied",IF(K468&gt;=75,"Satisfied",IF(K468&gt;=60,"Neutral","Dissatisfied")))</f>
        <v>Dissatisfied</v>
      </c>
      <c r="R468" s="8" t="str">
        <f aca="false">UPPER(LEFT(TRIM(J468),1))&amp;LOWER(MID(TRIM(J468),2,100))</f>
        <v>Silver</v>
      </c>
      <c r="S468" s="8" t="str">
        <f aca="false">IF(I468="High","Positive",IF(I468="Medium","Neutral","Negative"))</f>
        <v>Neutral</v>
      </c>
      <c r="T468" s="8" t="str">
        <f aca="false">IF(AND(E468&gt;=80000,H468&gt;=15),"Premium",IF(AND(E468&gt;=50000,H468&gt;=10),"Standard","Basic"))</f>
        <v>Standard</v>
      </c>
      <c r="U468" s="8" t="str">
        <f aca="false">IF(AND(F468&gt;=7,G468&gt;=7),"High Quality Experience","Review Needed")</f>
        <v>Review Needed</v>
      </c>
      <c r="V468" s="8" t="str">
        <f aca="false">IF(H468&gt;=10,"Repeat Buyer","Occasional Buyer")</f>
        <v>Repeat Buyer</v>
      </c>
      <c r="W468" s="8" t="str">
        <f aca="false">IF(AND(K468&lt;70,I468="Low"),"At Risk","Stable")</f>
        <v>Stable</v>
      </c>
      <c r="X468" s="8" t="str">
        <f aca="false">IF(AND(K468&lt;75,I468="Low",J468="Bronze"),"Priority Followup","No Action")</f>
        <v>No Action</v>
      </c>
    </row>
    <row r="469" customFormat="false" ht="15" hidden="false" customHeight="false" outlineLevel="0" collapsed="false">
      <c r="A469" s="3" t="n">
        <v>467</v>
      </c>
      <c r="B469" s="3" t="n">
        <v>23</v>
      </c>
      <c r="C469" s="3" t="s">
        <v>11</v>
      </c>
      <c r="D469" s="3" t="s">
        <v>12</v>
      </c>
      <c r="E469" s="3" t="n">
        <v>71104</v>
      </c>
      <c r="F469" s="3" t="n">
        <v>10</v>
      </c>
      <c r="G469" s="3" t="n">
        <v>9</v>
      </c>
      <c r="H469" s="3" t="n">
        <v>20</v>
      </c>
      <c r="I469" s="3" t="s">
        <v>21</v>
      </c>
      <c r="J469" s="3" t="s">
        <v>14</v>
      </c>
      <c r="K469" s="3" t="n">
        <v>100</v>
      </c>
      <c r="L469" s="7" t="str">
        <f aca="false">IF(B469&lt;25,"Gen Z",IF(B469&lt;40,"Millennial",IF(B469&lt;55,"Gen X","Baby Boomer")))</f>
        <v>Gen Z</v>
      </c>
      <c r="M469" s="7" t="str">
        <f aca="false">IF(E469&lt;50000,"Low Income",IF(E469&lt;80000,"Middle Income",IF(E469&lt;100000,"Upper Middle","High Income")))</f>
        <v>Middle Income</v>
      </c>
      <c r="N469" s="7" t="str">
        <f aca="false">IF(F469&lt;=3,"Poor",IF(F469&lt;=6,"Average",IF(F469&lt;=8,"Good","Excellent")))</f>
        <v>Excellent</v>
      </c>
      <c r="O469" s="7" t="str">
        <f aca="false">IF(G469&lt;=3,"Poor",IF(G469&lt;=6,"Average",IF(G469&lt;=8,"Good","Excellent")))</f>
        <v>Excellent</v>
      </c>
      <c r="P469" s="7" t="str">
        <f aca="false">IF(H469&lt;=5,"Low Frequency",IF(H469&lt;=10,"Moderate",IF(H469&lt;=15,"High","Very High")))</f>
        <v>Very High</v>
      </c>
      <c r="Q469" s="7" t="str">
        <f aca="false">IF(K469&gt;=90,"Highly Satisfied",IF(K469&gt;=75,"Satisfied",IF(K469&gt;=60,"Neutral","Dissatisfied")))</f>
        <v>Highly Satisfied</v>
      </c>
      <c r="R469" s="7" t="str">
        <f aca="false">UPPER(LEFT(TRIM(J469),1))&amp;LOWER(MID(TRIM(J469),2,100))</f>
        <v>Bronze</v>
      </c>
      <c r="S469" s="7" t="str">
        <f aca="false">IF(I469="High","Positive",IF(I469="Medium","Neutral","Negative"))</f>
        <v>Positive</v>
      </c>
      <c r="T469" s="7" t="str">
        <f aca="false">IF(AND(E469&gt;=80000,H469&gt;=15),"Premium",IF(AND(E469&gt;=50000,H469&gt;=10),"Standard","Basic"))</f>
        <v>Standard</v>
      </c>
      <c r="U469" s="7" t="str">
        <f aca="false">IF(AND(F469&gt;=7,G469&gt;=7),"High Quality Experience","Review Needed")</f>
        <v>High Quality Experience</v>
      </c>
      <c r="V469" s="7" t="str">
        <f aca="false">IF(H469&gt;=10,"Repeat Buyer","Occasional Buyer")</f>
        <v>Repeat Buyer</v>
      </c>
      <c r="W469" s="7" t="str">
        <f aca="false">IF(AND(K469&lt;70,I469="Low"),"At Risk","Stable")</f>
        <v>Stable</v>
      </c>
      <c r="X469" s="7" t="str">
        <f aca="false">IF(AND(K469&lt;75,I469="Low",J469="Bronze"),"Priority Followup","No Action")</f>
        <v>No Action</v>
      </c>
    </row>
    <row r="470" customFormat="false" ht="15" hidden="false" customHeight="false" outlineLevel="0" collapsed="false">
      <c r="A470" s="2" t="n">
        <v>468</v>
      </c>
      <c r="B470" s="2" t="n">
        <v>62</v>
      </c>
      <c r="C470" s="2" t="s">
        <v>17</v>
      </c>
      <c r="D470" s="2" t="s">
        <v>20</v>
      </c>
      <c r="E470" s="2" t="n">
        <v>87944</v>
      </c>
      <c r="F470" s="2" t="n">
        <v>9</v>
      </c>
      <c r="G470" s="2" t="n">
        <v>7</v>
      </c>
      <c r="H470" s="2" t="n">
        <v>11</v>
      </c>
      <c r="I470" s="2" t="s">
        <v>21</v>
      </c>
      <c r="J470" s="2" t="s">
        <v>14</v>
      </c>
      <c r="K470" s="2" t="n">
        <v>100</v>
      </c>
      <c r="L470" s="8" t="str">
        <f aca="false">IF(B470&lt;25,"Gen Z",IF(B470&lt;40,"Millennial",IF(B470&lt;55,"Gen X","Baby Boomer")))</f>
        <v>Baby Boomer</v>
      </c>
      <c r="M470" s="8" t="str">
        <f aca="false">IF(E470&lt;50000,"Low Income",IF(E470&lt;80000,"Middle Income",IF(E470&lt;100000,"Upper Middle","High Income")))</f>
        <v>Upper Middle</v>
      </c>
      <c r="N470" s="8" t="str">
        <f aca="false">IF(F470&lt;=3,"Poor",IF(F470&lt;=6,"Average",IF(F470&lt;=8,"Good","Excellent")))</f>
        <v>Excellent</v>
      </c>
      <c r="O470" s="8" t="str">
        <f aca="false">IF(G470&lt;=3,"Poor",IF(G470&lt;=6,"Average",IF(G470&lt;=8,"Good","Excellent")))</f>
        <v>Good</v>
      </c>
      <c r="P470" s="8" t="str">
        <f aca="false">IF(H470&lt;=5,"Low Frequency",IF(H470&lt;=10,"Moderate",IF(H470&lt;=15,"High","Very High")))</f>
        <v>High</v>
      </c>
      <c r="Q470" s="8" t="str">
        <f aca="false">IF(K470&gt;=90,"Highly Satisfied",IF(K470&gt;=75,"Satisfied",IF(K470&gt;=60,"Neutral","Dissatisfied")))</f>
        <v>Highly Satisfied</v>
      </c>
      <c r="R470" s="8" t="str">
        <f aca="false">UPPER(LEFT(TRIM(J470),1))&amp;LOWER(MID(TRIM(J470),2,100))</f>
        <v>Bronze</v>
      </c>
      <c r="S470" s="8" t="str">
        <f aca="false">IF(I470="High","Positive",IF(I470="Medium","Neutral","Negative"))</f>
        <v>Positive</v>
      </c>
      <c r="T470" s="8" t="str">
        <f aca="false">IF(AND(E470&gt;=80000,H470&gt;=15),"Premium",IF(AND(E470&gt;=50000,H470&gt;=10),"Standard","Basic"))</f>
        <v>Standard</v>
      </c>
      <c r="U470" s="8" t="str">
        <f aca="false">IF(AND(F470&gt;=7,G470&gt;=7),"High Quality Experience","Review Needed")</f>
        <v>High Quality Experience</v>
      </c>
      <c r="V470" s="8" t="str">
        <f aca="false">IF(H470&gt;=10,"Repeat Buyer","Occasional Buyer")</f>
        <v>Repeat Buyer</v>
      </c>
      <c r="W470" s="8" t="str">
        <f aca="false">IF(AND(K470&lt;70,I470="Low"),"At Risk","Stable")</f>
        <v>Stable</v>
      </c>
      <c r="X470" s="8" t="str">
        <f aca="false">IF(AND(K470&lt;75,I470="Low",J470="Bronze"),"Priority Followup","No Action")</f>
        <v>No Action</v>
      </c>
    </row>
    <row r="471" customFormat="false" ht="15" hidden="false" customHeight="false" outlineLevel="0" collapsed="false">
      <c r="A471" s="3" t="n">
        <v>469</v>
      </c>
      <c r="B471" s="3" t="n">
        <v>49</v>
      </c>
      <c r="C471" s="3" t="s">
        <v>11</v>
      </c>
      <c r="D471" s="3" t="s">
        <v>23</v>
      </c>
      <c r="E471" s="3" t="n">
        <v>116788</v>
      </c>
      <c r="F471" s="3" t="n">
        <v>4</v>
      </c>
      <c r="G471" s="3" t="n">
        <v>2</v>
      </c>
      <c r="H471" s="3" t="n">
        <v>12</v>
      </c>
      <c r="I471" s="3" t="s">
        <v>21</v>
      </c>
      <c r="J471" s="3" t="s">
        <v>19</v>
      </c>
      <c r="K471" s="3" t="n">
        <v>83.16</v>
      </c>
      <c r="L471" s="7" t="str">
        <f aca="false">IF(B471&lt;25,"Gen Z",IF(B471&lt;40,"Millennial",IF(B471&lt;55,"Gen X","Baby Boomer")))</f>
        <v>Gen X</v>
      </c>
      <c r="M471" s="7" t="str">
        <f aca="false">IF(E471&lt;50000,"Low Income",IF(E471&lt;80000,"Middle Income",IF(E471&lt;100000,"Upper Middle","High Income")))</f>
        <v>High Income</v>
      </c>
      <c r="N471" s="7" t="str">
        <f aca="false">IF(F471&lt;=3,"Poor",IF(F471&lt;=6,"Average",IF(F471&lt;=8,"Good","Excellent")))</f>
        <v>Average</v>
      </c>
      <c r="O471" s="7" t="str">
        <f aca="false">IF(G471&lt;=3,"Poor",IF(G471&lt;=6,"Average",IF(G471&lt;=8,"Good","Excellent")))</f>
        <v>Poor</v>
      </c>
      <c r="P471" s="7" t="str">
        <f aca="false">IF(H471&lt;=5,"Low Frequency",IF(H471&lt;=10,"Moderate",IF(H471&lt;=15,"High","Very High")))</f>
        <v>High</v>
      </c>
      <c r="Q471" s="7" t="str">
        <f aca="false">IF(K471&gt;=90,"Highly Satisfied",IF(K471&gt;=75,"Satisfied",IF(K471&gt;=60,"Neutral","Dissatisfied")))</f>
        <v>Satisfied</v>
      </c>
      <c r="R471" s="7" t="str">
        <f aca="false">UPPER(LEFT(TRIM(J471),1))&amp;LOWER(MID(TRIM(J471),2,100))</f>
        <v>Silver</v>
      </c>
      <c r="S471" s="7" t="str">
        <f aca="false">IF(I471="High","Positive",IF(I471="Medium","Neutral","Negative"))</f>
        <v>Positive</v>
      </c>
      <c r="T471" s="7" t="str">
        <f aca="false">IF(AND(E471&gt;=80000,H471&gt;=15),"Premium",IF(AND(E471&gt;=50000,H471&gt;=10),"Standard","Basic"))</f>
        <v>Standard</v>
      </c>
      <c r="U471" s="7" t="str">
        <f aca="false">IF(AND(F471&gt;=7,G471&gt;=7),"High Quality Experience","Review Needed")</f>
        <v>Review Needed</v>
      </c>
      <c r="V471" s="7" t="str">
        <f aca="false">IF(H471&gt;=10,"Repeat Buyer","Occasional Buyer")</f>
        <v>Repeat Buyer</v>
      </c>
      <c r="W471" s="7" t="str">
        <f aca="false">IF(AND(K471&lt;70,I471="Low"),"At Risk","Stable")</f>
        <v>Stable</v>
      </c>
      <c r="X471" s="7" t="str">
        <f aca="false">IF(AND(K471&lt;75,I471="Low",J471="Bronze"),"Priority Followup","No Action")</f>
        <v>No Action</v>
      </c>
    </row>
    <row r="472" customFormat="false" ht="15" hidden="false" customHeight="false" outlineLevel="0" collapsed="false">
      <c r="A472" s="2" t="n">
        <v>470</v>
      </c>
      <c r="B472" s="2" t="n">
        <v>69</v>
      </c>
      <c r="C472" s="2" t="s">
        <v>17</v>
      </c>
      <c r="D472" s="2" t="s">
        <v>18</v>
      </c>
      <c r="E472" s="2" t="n">
        <v>60597</v>
      </c>
      <c r="F472" s="2" t="n">
        <v>3</v>
      </c>
      <c r="G472" s="2" t="n">
        <v>1</v>
      </c>
      <c r="H472" s="2" t="n">
        <v>11</v>
      </c>
      <c r="I472" s="2" t="s">
        <v>21</v>
      </c>
      <c r="J472" s="2" t="s">
        <v>16</v>
      </c>
      <c r="K472" s="2" t="n">
        <v>53.28</v>
      </c>
      <c r="L472" s="8" t="str">
        <f aca="false">IF(B472&lt;25,"Gen Z",IF(B472&lt;40,"Millennial",IF(B472&lt;55,"Gen X","Baby Boomer")))</f>
        <v>Baby Boomer</v>
      </c>
      <c r="M472" s="8" t="str">
        <f aca="false">IF(E472&lt;50000,"Low Income",IF(E472&lt;80000,"Middle Income",IF(E472&lt;100000,"Upper Middle","High Income")))</f>
        <v>Middle Income</v>
      </c>
      <c r="N472" s="8" t="str">
        <f aca="false">IF(F472&lt;=3,"Poor",IF(F472&lt;=6,"Average",IF(F472&lt;=8,"Good","Excellent")))</f>
        <v>Poor</v>
      </c>
      <c r="O472" s="8" t="str">
        <f aca="false">IF(G472&lt;=3,"Poor",IF(G472&lt;=6,"Average",IF(G472&lt;=8,"Good","Excellent")))</f>
        <v>Poor</v>
      </c>
      <c r="P472" s="8" t="str">
        <f aca="false">IF(H472&lt;=5,"Low Frequency",IF(H472&lt;=10,"Moderate",IF(H472&lt;=15,"High","Very High")))</f>
        <v>High</v>
      </c>
      <c r="Q472" s="8" t="str">
        <f aca="false">IF(K472&gt;=90,"Highly Satisfied",IF(K472&gt;=75,"Satisfied",IF(K472&gt;=60,"Neutral","Dissatisfied")))</f>
        <v>Dissatisfied</v>
      </c>
      <c r="R472" s="8" t="str">
        <f aca="false">UPPER(LEFT(TRIM(J472),1))&amp;LOWER(MID(TRIM(J472),2,100))</f>
        <v>Gold</v>
      </c>
      <c r="S472" s="8" t="str">
        <f aca="false">IF(I472="High","Positive",IF(I472="Medium","Neutral","Negative"))</f>
        <v>Positive</v>
      </c>
      <c r="T472" s="8" t="str">
        <f aca="false">IF(AND(E472&gt;=80000,H472&gt;=15),"Premium",IF(AND(E472&gt;=50000,H472&gt;=10),"Standard","Basic"))</f>
        <v>Standard</v>
      </c>
      <c r="U472" s="8" t="str">
        <f aca="false">IF(AND(F472&gt;=7,G472&gt;=7),"High Quality Experience","Review Needed")</f>
        <v>Review Needed</v>
      </c>
      <c r="V472" s="8" t="str">
        <f aca="false">IF(H472&gt;=10,"Repeat Buyer","Occasional Buyer")</f>
        <v>Repeat Buyer</v>
      </c>
      <c r="W472" s="8" t="str">
        <f aca="false">IF(AND(K472&lt;70,I472="Low"),"At Risk","Stable")</f>
        <v>Stable</v>
      </c>
      <c r="X472" s="8" t="str">
        <f aca="false">IF(AND(K472&lt;75,I472="Low",J472="Bronze"),"Priority Followup","No Action")</f>
        <v>No Action</v>
      </c>
    </row>
    <row r="473" customFormat="false" ht="15" hidden="false" customHeight="false" outlineLevel="0" collapsed="false">
      <c r="A473" s="3" t="n">
        <v>471</v>
      </c>
      <c r="B473" s="3" t="n">
        <v>47</v>
      </c>
      <c r="C473" s="3" t="s">
        <v>11</v>
      </c>
      <c r="D473" s="3" t="s">
        <v>20</v>
      </c>
      <c r="E473" s="3" t="n">
        <v>81573</v>
      </c>
      <c r="F473" s="3" t="n">
        <v>10</v>
      </c>
      <c r="G473" s="3" t="n">
        <v>9</v>
      </c>
      <c r="H473" s="3" t="n">
        <v>4</v>
      </c>
      <c r="I473" s="3" t="s">
        <v>15</v>
      </c>
      <c r="J473" s="3" t="s">
        <v>14</v>
      </c>
      <c r="K473" s="3" t="n">
        <v>100</v>
      </c>
      <c r="L473" s="7" t="str">
        <f aca="false">IF(B473&lt;25,"Gen Z",IF(B473&lt;40,"Millennial",IF(B473&lt;55,"Gen X","Baby Boomer")))</f>
        <v>Gen X</v>
      </c>
      <c r="M473" s="7" t="str">
        <f aca="false">IF(E473&lt;50000,"Low Income",IF(E473&lt;80000,"Middle Income",IF(E473&lt;100000,"Upper Middle","High Income")))</f>
        <v>Upper Middle</v>
      </c>
      <c r="N473" s="7" t="str">
        <f aca="false">IF(F473&lt;=3,"Poor",IF(F473&lt;=6,"Average",IF(F473&lt;=8,"Good","Excellent")))</f>
        <v>Excellent</v>
      </c>
      <c r="O473" s="7" t="str">
        <f aca="false">IF(G473&lt;=3,"Poor",IF(G473&lt;=6,"Average",IF(G473&lt;=8,"Good","Excellent")))</f>
        <v>Excellent</v>
      </c>
      <c r="P473" s="7" t="str">
        <f aca="false">IF(H473&lt;=5,"Low Frequency",IF(H473&lt;=10,"Moderate",IF(H473&lt;=15,"High","Very High")))</f>
        <v>Low Frequency</v>
      </c>
      <c r="Q473" s="7" t="str">
        <f aca="false">IF(K473&gt;=90,"Highly Satisfied",IF(K473&gt;=75,"Satisfied",IF(K473&gt;=60,"Neutral","Dissatisfied")))</f>
        <v>Highly Satisfied</v>
      </c>
      <c r="R473" s="7" t="str">
        <f aca="false">UPPER(LEFT(TRIM(J473),1))&amp;LOWER(MID(TRIM(J473),2,100))</f>
        <v>Bronze</v>
      </c>
      <c r="S473" s="7" t="str">
        <f aca="false">IF(I473="High","Positive",IF(I473="Medium","Neutral","Negative"))</f>
        <v>Neutral</v>
      </c>
      <c r="T473" s="7" t="str">
        <f aca="false">IF(AND(E473&gt;=80000,H473&gt;=15),"Premium",IF(AND(E473&gt;=50000,H473&gt;=10),"Standard","Basic"))</f>
        <v>Basic</v>
      </c>
      <c r="U473" s="7" t="str">
        <f aca="false">IF(AND(F473&gt;=7,G473&gt;=7),"High Quality Experience","Review Needed")</f>
        <v>High Quality Experience</v>
      </c>
      <c r="V473" s="7" t="str">
        <f aca="false">IF(H473&gt;=10,"Repeat Buyer","Occasional Buyer")</f>
        <v>Occasional Buyer</v>
      </c>
      <c r="W473" s="7" t="str">
        <f aca="false">IF(AND(K473&lt;70,I473="Low"),"At Risk","Stable")</f>
        <v>Stable</v>
      </c>
      <c r="X473" s="7" t="str">
        <f aca="false">IF(AND(K473&lt;75,I473="Low",J473="Bronze"),"Priority Followup","No Action")</f>
        <v>No Action</v>
      </c>
    </row>
    <row r="474" customFormat="false" ht="15" hidden="false" customHeight="false" outlineLevel="0" collapsed="false">
      <c r="A474" s="2" t="n">
        <v>472</v>
      </c>
      <c r="B474" s="2" t="n">
        <v>64</v>
      </c>
      <c r="C474" s="2" t="s">
        <v>17</v>
      </c>
      <c r="D474" s="2" t="s">
        <v>12</v>
      </c>
      <c r="E474" s="2" t="n">
        <v>45335</v>
      </c>
      <c r="F474" s="2" t="n">
        <v>3</v>
      </c>
      <c r="G474" s="2" t="n">
        <v>3</v>
      </c>
      <c r="H474" s="2" t="n">
        <v>12</v>
      </c>
      <c r="I474" s="2" t="s">
        <v>21</v>
      </c>
      <c r="J474" s="2" t="s">
        <v>16</v>
      </c>
      <c r="K474" s="2" t="n">
        <v>66.13</v>
      </c>
      <c r="L474" s="8" t="str">
        <f aca="false">IF(B474&lt;25,"Gen Z",IF(B474&lt;40,"Millennial",IF(B474&lt;55,"Gen X","Baby Boomer")))</f>
        <v>Baby Boomer</v>
      </c>
      <c r="M474" s="8" t="str">
        <f aca="false">IF(E474&lt;50000,"Low Income",IF(E474&lt;80000,"Middle Income",IF(E474&lt;100000,"Upper Middle","High Income")))</f>
        <v>Low Income</v>
      </c>
      <c r="N474" s="8" t="str">
        <f aca="false">IF(F474&lt;=3,"Poor",IF(F474&lt;=6,"Average",IF(F474&lt;=8,"Good","Excellent")))</f>
        <v>Poor</v>
      </c>
      <c r="O474" s="8" t="str">
        <f aca="false">IF(G474&lt;=3,"Poor",IF(G474&lt;=6,"Average",IF(G474&lt;=8,"Good","Excellent")))</f>
        <v>Poor</v>
      </c>
      <c r="P474" s="8" t="str">
        <f aca="false">IF(H474&lt;=5,"Low Frequency",IF(H474&lt;=10,"Moderate",IF(H474&lt;=15,"High","Very High")))</f>
        <v>High</v>
      </c>
      <c r="Q474" s="8" t="str">
        <f aca="false">IF(K474&gt;=90,"Highly Satisfied",IF(K474&gt;=75,"Satisfied",IF(K474&gt;=60,"Neutral","Dissatisfied")))</f>
        <v>Neutral</v>
      </c>
      <c r="R474" s="8" t="str">
        <f aca="false">UPPER(LEFT(TRIM(J474),1))&amp;LOWER(MID(TRIM(J474),2,100))</f>
        <v>Gold</v>
      </c>
      <c r="S474" s="8" t="str">
        <f aca="false">IF(I474="High","Positive",IF(I474="Medium","Neutral","Negative"))</f>
        <v>Positive</v>
      </c>
      <c r="T474" s="8" t="str">
        <f aca="false">IF(AND(E474&gt;=80000,H474&gt;=15),"Premium",IF(AND(E474&gt;=50000,H474&gt;=10),"Standard","Basic"))</f>
        <v>Basic</v>
      </c>
      <c r="U474" s="8" t="str">
        <f aca="false">IF(AND(F474&gt;=7,G474&gt;=7),"High Quality Experience","Review Needed")</f>
        <v>Review Needed</v>
      </c>
      <c r="V474" s="8" t="str">
        <f aca="false">IF(H474&gt;=10,"Repeat Buyer","Occasional Buyer")</f>
        <v>Repeat Buyer</v>
      </c>
      <c r="W474" s="8" t="str">
        <f aca="false">IF(AND(K474&lt;70,I474="Low"),"At Risk","Stable")</f>
        <v>Stable</v>
      </c>
      <c r="X474" s="8" t="str">
        <f aca="false">IF(AND(K474&lt;75,I474="Low",J474="Bronze"),"Priority Followup","No Action")</f>
        <v>No Action</v>
      </c>
    </row>
    <row r="475" customFormat="false" ht="15" hidden="false" customHeight="false" outlineLevel="0" collapsed="false">
      <c r="A475" s="3" t="n">
        <v>473</v>
      </c>
      <c r="B475" s="3" t="n">
        <v>52</v>
      </c>
      <c r="C475" s="3" t="s">
        <v>11</v>
      </c>
      <c r="D475" s="3" t="s">
        <v>18</v>
      </c>
      <c r="E475" s="3" t="n">
        <v>96915</v>
      </c>
      <c r="F475" s="3" t="n">
        <v>9</v>
      </c>
      <c r="G475" s="3" t="n">
        <v>10</v>
      </c>
      <c r="H475" s="3" t="n">
        <v>9</v>
      </c>
      <c r="I475" s="3" t="s">
        <v>21</v>
      </c>
      <c r="J475" s="3" t="s">
        <v>19</v>
      </c>
      <c r="K475" s="3" t="n">
        <v>100</v>
      </c>
      <c r="L475" s="7" t="str">
        <f aca="false">IF(B475&lt;25,"Gen Z",IF(B475&lt;40,"Millennial",IF(B475&lt;55,"Gen X","Baby Boomer")))</f>
        <v>Gen X</v>
      </c>
      <c r="M475" s="7" t="str">
        <f aca="false">IF(E475&lt;50000,"Low Income",IF(E475&lt;80000,"Middle Income",IF(E475&lt;100000,"Upper Middle","High Income")))</f>
        <v>Upper Middle</v>
      </c>
      <c r="N475" s="7" t="str">
        <f aca="false">IF(F475&lt;=3,"Poor",IF(F475&lt;=6,"Average",IF(F475&lt;=8,"Good","Excellent")))</f>
        <v>Excellent</v>
      </c>
      <c r="O475" s="7" t="str">
        <f aca="false">IF(G475&lt;=3,"Poor",IF(G475&lt;=6,"Average",IF(G475&lt;=8,"Good","Excellent")))</f>
        <v>Excellent</v>
      </c>
      <c r="P475" s="7" t="str">
        <f aca="false">IF(H475&lt;=5,"Low Frequency",IF(H475&lt;=10,"Moderate",IF(H475&lt;=15,"High","Very High")))</f>
        <v>Moderate</v>
      </c>
      <c r="Q475" s="7" t="str">
        <f aca="false">IF(K475&gt;=90,"Highly Satisfied",IF(K475&gt;=75,"Satisfied",IF(K475&gt;=60,"Neutral","Dissatisfied")))</f>
        <v>Highly Satisfied</v>
      </c>
      <c r="R475" s="7" t="str">
        <f aca="false">UPPER(LEFT(TRIM(J475),1))&amp;LOWER(MID(TRIM(J475),2,100))</f>
        <v>Silver</v>
      </c>
      <c r="S475" s="7" t="str">
        <f aca="false">IF(I475="High","Positive",IF(I475="Medium","Neutral","Negative"))</f>
        <v>Positive</v>
      </c>
      <c r="T475" s="7" t="str">
        <f aca="false">IF(AND(E475&gt;=80000,H475&gt;=15),"Premium",IF(AND(E475&gt;=50000,H475&gt;=10),"Standard","Basic"))</f>
        <v>Basic</v>
      </c>
      <c r="U475" s="7" t="str">
        <f aca="false">IF(AND(F475&gt;=7,G475&gt;=7),"High Quality Experience","Review Needed")</f>
        <v>High Quality Experience</v>
      </c>
      <c r="V475" s="7" t="str">
        <f aca="false">IF(H475&gt;=10,"Repeat Buyer","Occasional Buyer")</f>
        <v>Occasional Buyer</v>
      </c>
      <c r="W475" s="7" t="str">
        <f aca="false">IF(AND(K475&lt;70,I475="Low"),"At Risk","Stable")</f>
        <v>Stable</v>
      </c>
      <c r="X475" s="7" t="str">
        <f aca="false">IF(AND(K475&lt;75,I475="Low",J475="Bronze"),"Priority Followup","No Action")</f>
        <v>No Action</v>
      </c>
    </row>
    <row r="476" customFormat="false" ht="15" hidden="false" customHeight="false" outlineLevel="0" collapsed="false">
      <c r="A476" s="2" t="n">
        <v>474</v>
      </c>
      <c r="B476" s="2" t="n">
        <v>57</v>
      </c>
      <c r="C476" s="2" t="s">
        <v>17</v>
      </c>
      <c r="D476" s="2" t="s">
        <v>20</v>
      </c>
      <c r="E476" s="2" t="n">
        <v>88126</v>
      </c>
      <c r="F476" s="2" t="n">
        <v>7</v>
      </c>
      <c r="G476" s="2" t="n">
        <v>9</v>
      </c>
      <c r="H476" s="2" t="n">
        <v>15</v>
      </c>
      <c r="I476" s="2" t="s">
        <v>15</v>
      </c>
      <c r="J476" s="2" t="s">
        <v>19</v>
      </c>
      <c r="K476" s="2" t="n">
        <v>100</v>
      </c>
      <c r="L476" s="8" t="str">
        <f aca="false">IF(B476&lt;25,"Gen Z",IF(B476&lt;40,"Millennial",IF(B476&lt;55,"Gen X","Baby Boomer")))</f>
        <v>Baby Boomer</v>
      </c>
      <c r="M476" s="8" t="str">
        <f aca="false">IF(E476&lt;50000,"Low Income",IF(E476&lt;80000,"Middle Income",IF(E476&lt;100000,"Upper Middle","High Income")))</f>
        <v>Upper Middle</v>
      </c>
      <c r="N476" s="8" t="str">
        <f aca="false">IF(F476&lt;=3,"Poor",IF(F476&lt;=6,"Average",IF(F476&lt;=8,"Good","Excellent")))</f>
        <v>Good</v>
      </c>
      <c r="O476" s="8" t="str">
        <f aca="false">IF(G476&lt;=3,"Poor",IF(G476&lt;=6,"Average",IF(G476&lt;=8,"Good","Excellent")))</f>
        <v>Excellent</v>
      </c>
      <c r="P476" s="8" t="str">
        <f aca="false">IF(H476&lt;=5,"Low Frequency",IF(H476&lt;=10,"Moderate",IF(H476&lt;=15,"High","Very High")))</f>
        <v>High</v>
      </c>
      <c r="Q476" s="8" t="str">
        <f aca="false">IF(K476&gt;=90,"Highly Satisfied",IF(K476&gt;=75,"Satisfied",IF(K476&gt;=60,"Neutral","Dissatisfied")))</f>
        <v>Highly Satisfied</v>
      </c>
      <c r="R476" s="8" t="str">
        <f aca="false">UPPER(LEFT(TRIM(J476),1))&amp;LOWER(MID(TRIM(J476),2,100))</f>
        <v>Silver</v>
      </c>
      <c r="S476" s="8" t="str">
        <f aca="false">IF(I476="High","Positive",IF(I476="Medium","Neutral","Negative"))</f>
        <v>Neutral</v>
      </c>
      <c r="T476" s="8" t="str">
        <f aca="false">IF(AND(E476&gt;=80000,H476&gt;=15),"Premium",IF(AND(E476&gt;=50000,H476&gt;=10),"Standard","Basic"))</f>
        <v>Premium</v>
      </c>
      <c r="U476" s="8" t="str">
        <f aca="false">IF(AND(F476&gt;=7,G476&gt;=7),"High Quality Experience","Review Needed")</f>
        <v>High Quality Experience</v>
      </c>
      <c r="V476" s="8" t="str">
        <f aca="false">IF(H476&gt;=10,"Repeat Buyer","Occasional Buyer")</f>
        <v>Repeat Buyer</v>
      </c>
      <c r="W476" s="8" t="str">
        <f aca="false">IF(AND(K476&lt;70,I476="Low"),"At Risk","Stable")</f>
        <v>Stable</v>
      </c>
      <c r="X476" s="8" t="str">
        <f aca="false">IF(AND(K476&lt;75,I476="Low",J476="Bronze"),"Priority Followup","No Action")</f>
        <v>No Action</v>
      </c>
    </row>
    <row r="477" customFormat="false" ht="15" hidden="false" customHeight="false" outlineLevel="0" collapsed="false">
      <c r="A477" s="3" t="n">
        <v>475</v>
      </c>
      <c r="B477" s="3" t="n">
        <v>69</v>
      </c>
      <c r="C477" s="3" t="s">
        <v>17</v>
      </c>
      <c r="D477" s="3" t="s">
        <v>22</v>
      </c>
      <c r="E477" s="3" t="n">
        <v>86870</v>
      </c>
      <c r="F477" s="3" t="n">
        <v>2</v>
      </c>
      <c r="G477" s="3" t="n">
        <v>6</v>
      </c>
      <c r="H477" s="3" t="n">
        <v>7</v>
      </c>
      <c r="I477" s="3" t="s">
        <v>13</v>
      </c>
      <c r="J477" s="3" t="s">
        <v>19</v>
      </c>
      <c r="K477" s="3" t="n">
        <v>89.02</v>
      </c>
      <c r="L477" s="7" t="str">
        <f aca="false">IF(B477&lt;25,"Gen Z",IF(B477&lt;40,"Millennial",IF(B477&lt;55,"Gen X","Baby Boomer")))</f>
        <v>Baby Boomer</v>
      </c>
      <c r="M477" s="7" t="str">
        <f aca="false">IF(E477&lt;50000,"Low Income",IF(E477&lt;80000,"Middle Income",IF(E477&lt;100000,"Upper Middle","High Income")))</f>
        <v>Upper Middle</v>
      </c>
      <c r="N477" s="7" t="str">
        <f aca="false">IF(F477&lt;=3,"Poor",IF(F477&lt;=6,"Average",IF(F477&lt;=8,"Good","Excellent")))</f>
        <v>Poor</v>
      </c>
      <c r="O477" s="7" t="str">
        <f aca="false">IF(G477&lt;=3,"Poor",IF(G477&lt;=6,"Average",IF(G477&lt;=8,"Good","Excellent")))</f>
        <v>Average</v>
      </c>
      <c r="P477" s="7" t="str">
        <f aca="false">IF(H477&lt;=5,"Low Frequency",IF(H477&lt;=10,"Moderate",IF(H477&lt;=15,"High","Very High")))</f>
        <v>Moderate</v>
      </c>
      <c r="Q477" s="7" t="str">
        <f aca="false">IF(K477&gt;=90,"Highly Satisfied",IF(K477&gt;=75,"Satisfied",IF(K477&gt;=60,"Neutral","Dissatisfied")))</f>
        <v>Satisfied</v>
      </c>
      <c r="R477" s="7" t="str">
        <f aca="false">UPPER(LEFT(TRIM(J477),1))&amp;LOWER(MID(TRIM(J477),2,100))</f>
        <v>Silver</v>
      </c>
      <c r="S477" s="7" t="str">
        <f aca="false">IF(I477="High","Positive",IF(I477="Medium","Neutral","Negative"))</f>
        <v>Negative</v>
      </c>
      <c r="T477" s="7" t="str">
        <f aca="false">IF(AND(E477&gt;=80000,H477&gt;=15),"Premium",IF(AND(E477&gt;=50000,H477&gt;=10),"Standard","Basic"))</f>
        <v>Basic</v>
      </c>
      <c r="U477" s="7" t="str">
        <f aca="false">IF(AND(F477&gt;=7,G477&gt;=7),"High Quality Experience","Review Needed")</f>
        <v>Review Needed</v>
      </c>
      <c r="V477" s="7" t="str">
        <f aca="false">IF(H477&gt;=10,"Repeat Buyer","Occasional Buyer")</f>
        <v>Occasional Buyer</v>
      </c>
      <c r="W477" s="7" t="str">
        <f aca="false">IF(AND(K477&lt;70,I477="Low"),"At Risk","Stable")</f>
        <v>Stable</v>
      </c>
      <c r="X477" s="7" t="str">
        <f aca="false">IF(AND(K477&lt;75,I477="Low",J477="Bronze"),"Priority Followup","No Action")</f>
        <v>No Action</v>
      </c>
    </row>
    <row r="478" customFormat="false" ht="15" hidden="false" customHeight="false" outlineLevel="0" collapsed="false">
      <c r="A478" s="2" t="n">
        <v>476</v>
      </c>
      <c r="B478" s="2" t="n">
        <v>33</v>
      </c>
      <c r="C478" s="2" t="s">
        <v>17</v>
      </c>
      <c r="D478" s="2" t="s">
        <v>20</v>
      </c>
      <c r="E478" s="2" t="n">
        <v>74495</v>
      </c>
      <c r="F478" s="2" t="n">
        <v>3</v>
      </c>
      <c r="G478" s="2" t="n">
        <v>2</v>
      </c>
      <c r="H478" s="2" t="n">
        <v>1</v>
      </c>
      <c r="I478" s="2" t="s">
        <v>21</v>
      </c>
      <c r="J478" s="2" t="s">
        <v>19</v>
      </c>
      <c r="K478" s="2" t="n">
        <v>42.66</v>
      </c>
      <c r="L478" s="8" t="str">
        <f aca="false">IF(B478&lt;25,"Gen Z",IF(B478&lt;40,"Millennial",IF(B478&lt;55,"Gen X","Baby Boomer")))</f>
        <v>Millennial</v>
      </c>
      <c r="M478" s="8" t="str">
        <f aca="false">IF(E478&lt;50000,"Low Income",IF(E478&lt;80000,"Middle Income",IF(E478&lt;100000,"Upper Middle","High Income")))</f>
        <v>Middle Income</v>
      </c>
      <c r="N478" s="8" t="str">
        <f aca="false">IF(F478&lt;=3,"Poor",IF(F478&lt;=6,"Average",IF(F478&lt;=8,"Good","Excellent")))</f>
        <v>Poor</v>
      </c>
      <c r="O478" s="8" t="str">
        <f aca="false">IF(G478&lt;=3,"Poor",IF(G478&lt;=6,"Average",IF(G478&lt;=8,"Good","Excellent")))</f>
        <v>Poor</v>
      </c>
      <c r="P478" s="8" t="str">
        <f aca="false">IF(H478&lt;=5,"Low Frequency",IF(H478&lt;=10,"Moderate",IF(H478&lt;=15,"High","Very High")))</f>
        <v>Low Frequency</v>
      </c>
      <c r="Q478" s="8" t="str">
        <f aca="false">IF(K478&gt;=90,"Highly Satisfied",IF(K478&gt;=75,"Satisfied",IF(K478&gt;=60,"Neutral","Dissatisfied")))</f>
        <v>Dissatisfied</v>
      </c>
      <c r="R478" s="8" t="str">
        <f aca="false">UPPER(LEFT(TRIM(J478),1))&amp;LOWER(MID(TRIM(J478),2,100))</f>
        <v>Silver</v>
      </c>
      <c r="S478" s="8" t="str">
        <f aca="false">IF(I478="High","Positive",IF(I478="Medium","Neutral","Negative"))</f>
        <v>Positive</v>
      </c>
      <c r="T478" s="8" t="str">
        <f aca="false">IF(AND(E478&gt;=80000,H478&gt;=15),"Premium",IF(AND(E478&gt;=50000,H478&gt;=10),"Standard","Basic"))</f>
        <v>Basic</v>
      </c>
      <c r="U478" s="8" t="str">
        <f aca="false">IF(AND(F478&gt;=7,G478&gt;=7),"High Quality Experience","Review Needed")</f>
        <v>Review Needed</v>
      </c>
      <c r="V478" s="8" t="str">
        <f aca="false">IF(H478&gt;=10,"Repeat Buyer","Occasional Buyer")</f>
        <v>Occasional Buyer</v>
      </c>
      <c r="W478" s="8" t="str">
        <f aca="false">IF(AND(K478&lt;70,I478="Low"),"At Risk","Stable")</f>
        <v>Stable</v>
      </c>
      <c r="X478" s="8" t="str">
        <f aca="false">IF(AND(K478&lt;75,I478="Low",J478="Bronze"),"Priority Followup","No Action")</f>
        <v>No Action</v>
      </c>
    </row>
    <row r="479" customFormat="false" ht="15" hidden="false" customHeight="false" outlineLevel="0" collapsed="false">
      <c r="A479" s="3" t="n">
        <v>477</v>
      </c>
      <c r="B479" s="3" t="n">
        <v>30</v>
      </c>
      <c r="C479" s="3" t="s">
        <v>11</v>
      </c>
      <c r="D479" s="3" t="s">
        <v>18</v>
      </c>
      <c r="E479" s="3" t="n">
        <v>71957</v>
      </c>
      <c r="F479" s="3" t="n">
        <v>1</v>
      </c>
      <c r="G479" s="3" t="n">
        <v>5</v>
      </c>
      <c r="H479" s="3" t="n">
        <v>20</v>
      </c>
      <c r="I479" s="3" t="s">
        <v>15</v>
      </c>
      <c r="J479" s="3" t="s">
        <v>19</v>
      </c>
      <c r="K479" s="3" t="n">
        <v>62.42</v>
      </c>
      <c r="L479" s="7" t="str">
        <f aca="false">IF(B479&lt;25,"Gen Z",IF(B479&lt;40,"Millennial",IF(B479&lt;55,"Gen X","Baby Boomer")))</f>
        <v>Millennial</v>
      </c>
      <c r="M479" s="7" t="str">
        <f aca="false">IF(E479&lt;50000,"Low Income",IF(E479&lt;80000,"Middle Income",IF(E479&lt;100000,"Upper Middle","High Income")))</f>
        <v>Middle Income</v>
      </c>
      <c r="N479" s="7" t="str">
        <f aca="false">IF(F479&lt;=3,"Poor",IF(F479&lt;=6,"Average",IF(F479&lt;=8,"Good","Excellent")))</f>
        <v>Poor</v>
      </c>
      <c r="O479" s="7" t="str">
        <f aca="false">IF(G479&lt;=3,"Poor",IF(G479&lt;=6,"Average",IF(G479&lt;=8,"Good","Excellent")))</f>
        <v>Average</v>
      </c>
      <c r="P479" s="7" t="str">
        <f aca="false">IF(H479&lt;=5,"Low Frequency",IF(H479&lt;=10,"Moderate",IF(H479&lt;=15,"High","Very High")))</f>
        <v>Very High</v>
      </c>
      <c r="Q479" s="7" t="str">
        <f aca="false">IF(K479&gt;=90,"Highly Satisfied",IF(K479&gt;=75,"Satisfied",IF(K479&gt;=60,"Neutral","Dissatisfied")))</f>
        <v>Neutral</v>
      </c>
      <c r="R479" s="7" t="str">
        <f aca="false">UPPER(LEFT(TRIM(J479),1))&amp;LOWER(MID(TRIM(J479),2,100))</f>
        <v>Silver</v>
      </c>
      <c r="S479" s="7" t="str">
        <f aca="false">IF(I479="High","Positive",IF(I479="Medium","Neutral","Negative"))</f>
        <v>Neutral</v>
      </c>
      <c r="T479" s="7" t="str">
        <f aca="false">IF(AND(E479&gt;=80000,H479&gt;=15),"Premium",IF(AND(E479&gt;=50000,H479&gt;=10),"Standard","Basic"))</f>
        <v>Standard</v>
      </c>
      <c r="U479" s="7" t="str">
        <f aca="false">IF(AND(F479&gt;=7,G479&gt;=7),"High Quality Experience","Review Needed")</f>
        <v>Review Needed</v>
      </c>
      <c r="V479" s="7" t="str">
        <f aca="false">IF(H479&gt;=10,"Repeat Buyer","Occasional Buyer")</f>
        <v>Repeat Buyer</v>
      </c>
      <c r="W479" s="7" t="str">
        <f aca="false">IF(AND(K479&lt;70,I479="Low"),"At Risk","Stable")</f>
        <v>Stable</v>
      </c>
      <c r="X479" s="7" t="str">
        <f aca="false">IF(AND(K479&lt;75,I479="Low",J479="Bronze"),"Priority Followup","No Action")</f>
        <v>No Action</v>
      </c>
    </row>
    <row r="480" customFormat="false" ht="15" hidden="false" customHeight="false" outlineLevel="0" collapsed="false">
      <c r="A480" s="2" t="n">
        <v>478</v>
      </c>
      <c r="B480" s="2" t="n">
        <v>67</v>
      </c>
      <c r="C480" s="2" t="s">
        <v>11</v>
      </c>
      <c r="D480" s="2" t="s">
        <v>23</v>
      </c>
      <c r="E480" s="2" t="n">
        <v>61892</v>
      </c>
      <c r="F480" s="2" t="n">
        <v>5</v>
      </c>
      <c r="G480" s="2" t="n">
        <v>6</v>
      </c>
      <c r="H480" s="2" t="n">
        <v>13</v>
      </c>
      <c r="I480" s="2" t="s">
        <v>13</v>
      </c>
      <c r="J480" s="2" t="s">
        <v>19</v>
      </c>
      <c r="K480" s="2" t="n">
        <v>73.64</v>
      </c>
      <c r="L480" s="8" t="str">
        <f aca="false">IF(B480&lt;25,"Gen Z",IF(B480&lt;40,"Millennial",IF(B480&lt;55,"Gen X","Baby Boomer")))</f>
        <v>Baby Boomer</v>
      </c>
      <c r="M480" s="8" t="str">
        <f aca="false">IF(E480&lt;50000,"Low Income",IF(E480&lt;80000,"Middle Income",IF(E480&lt;100000,"Upper Middle","High Income")))</f>
        <v>Middle Income</v>
      </c>
      <c r="N480" s="8" t="str">
        <f aca="false">IF(F480&lt;=3,"Poor",IF(F480&lt;=6,"Average",IF(F480&lt;=8,"Good","Excellent")))</f>
        <v>Average</v>
      </c>
      <c r="O480" s="8" t="str">
        <f aca="false">IF(G480&lt;=3,"Poor",IF(G480&lt;=6,"Average",IF(G480&lt;=8,"Good","Excellent")))</f>
        <v>Average</v>
      </c>
      <c r="P480" s="8" t="str">
        <f aca="false">IF(H480&lt;=5,"Low Frequency",IF(H480&lt;=10,"Moderate",IF(H480&lt;=15,"High","Very High")))</f>
        <v>High</v>
      </c>
      <c r="Q480" s="8" t="str">
        <f aca="false">IF(K480&gt;=90,"Highly Satisfied",IF(K480&gt;=75,"Satisfied",IF(K480&gt;=60,"Neutral","Dissatisfied")))</f>
        <v>Neutral</v>
      </c>
      <c r="R480" s="8" t="str">
        <f aca="false">UPPER(LEFT(TRIM(J480),1))&amp;LOWER(MID(TRIM(J480),2,100))</f>
        <v>Silver</v>
      </c>
      <c r="S480" s="8" t="str">
        <f aca="false">IF(I480="High","Positive",IF(I480="Medium","Neutral","Negative"))</f>
        <v>Negative</v>
      </c>
      <c r="T480" s="8" t="str">
        <f aca="false">IF(AND(E480&gt;=80000,H480&gt;=15),"Premium",IF(AND(E480&gt;=50000,H480&gt;=10),"Standard","Basic"))</f>
        <v>Standard</v>
      </c>
      <c r="U480" s="8" t="str">
        <f aca="false">IF(AND(F480&gt;=7,G480&gt;=7),"High Quality Experience","Review Needed")</f>
        <v>Review Needed</v>
      </c>
      <c r="V480" s="8" t="str">
        <f aca="false">IF(H480&gt;=10,"Repeat Buyer","Occasional Buyer")</f>
        <v>Repeat Buyer</v>
      </c>
      <c r="W480" s="8" t="str">
        <f aca="false">IF(AND(K480&lt;70,I480="Low"),"At Risk","Stable")</f>
        <v>Stable</v>
      </c>
      <c r="X480" s="8" t="str">
        <f aca="false">IF(AND(K480&lt;75,I480="Low",J480="Bronze"),"Priority Followup","No Action")</f>
        <v>No Action</v>
      </c>
    </row>
    <row r="481" customFormat="false" ht="15" hidden="false" customHeight="false" outlineLevel="0" collapsed="false">
      <c r="A481" s="3" t="n">
        <v>479</v>
      </c>
      <c r="B481" s="3" t="n">
        <v>59</v>
      </c>
      <c r="C481" s="3" t="s">
        <v>17</v>
      </c>
      <c r="D481" s="3" t="s">
        <v>23</v>
      </c>
      <c r="E481" s="3" t="n">
        <v>69653</v>
      </c>
      <c r="F481" s="3" t="n">
        <v>5</v>
      </c>
      <c r="G481" s="3" t="n">
        <v>7</v>
      </c>
      <c r="H481" s="3" t="n">
        <v>5</v>
      </c>
      <c r="I481" s="3" t="s">
        <v>21</v>
      </c>
      <c r="J481" s="3" t="s">
        <v>16</v>
      </c>
      <c r="K481" s="3" t="n">
        <v>100</v>
      </c>
      <c r="L481" s="7" t="str">
        <f aca="false">IF(B481&lt;25,"Gen Z",IF(B481&lt;40,"Millennial",IF(B481&lt;55,"Gen X","Baby Boomer")))</f>
        <v>Baby Boomer</v>
      </c>
      <c r="M481" s="7" t="str">
        <f aca="false">IF(E481&lt;50000,"Low Income",IF(E481&lt;80000,"Middle Income",IF(E481&lt;100000,"Upper Middle","High Income")))</f>
        <v>Middle Income</v>
      </c>
      <c r="N481" s="7" t="str">
        <f aca="false">IF(F481&lt;=3,"Poor",IF(F481&lt;=6,"Average",IF(F481&lt;=8,"Good","Excellent")))</f>
        <v>Average</v>
      </c>
      <c r="O481" s="7" t="str">
        <f aca="false">IF(G481&lt;=3,"Poor",IF(G481&lt;=6,"Average",IF(G481&lt;=8,"Good","Excellent")))</f>
        <v>Good</v>
      </c>
      <c r="P481" s="7" t="str">
        <f aca="false">IF(H481&lt;=5,"Low Frequency",IF(H481&lt;=10,"Moderate",IF(H481&lt;=15,"High","Very High")))</f>
        <v>Low Frequency</v>
      </c>
      <c r="Q481" s="7" t="str">
        <f aca="false">IF(K481&gt;=90,"Highly Satisfied",IF(K481&gt;=75,"Satisfied",IF(K481&gt;=60,"Neutral","Dissatisfied")))</f>
        <v>Highly Satisfied</v>
      </c>
      <c r="R481" s="7" t="str">
        <f aca="false">UPPER(LEFT(TRIM(J481),1))&amp;LOWER(MID(TRIM(J481),2,100))</f>
        <v>Gold</v>
      </c>
      <c r="S481" s="7" t="str">
        <f aca="false">IF(I481="High","Positive",IF(I481="Medium","Neutral","Negative"))</f>
        <v>Positive</v>
      </c>
      <c r="T481" s="7" t="str">
        <f aca="false">IF(AND(E481&gt;=80000,H481&gt;=15),"Premium",IF(AND(E481&gt;=50000,H481&gt;=10),"Standard","Basic"))</f>
        <v>Basic</v>
      </c>
      <c r="U481" s="7" t="str">
        <f aca="false">IF(AND(F481&gt;=7,G481&gt;=7),"High Quality Experience","Review Needed")</f>
        <v>Review Needed</v>
      </c>
      <c r="V481" s="7" t="str">
        <f aca="false">IF(H481&gt;=10,"Repeat Buyer","Occasional Buyer")</f>
        <v>Occasional Buyer</v>
      </c>
      <c r="W481" s="7" t="str">
        <f aca="false">IF(AND(K481&lt;70,I481="Low"),"At Risk","Stable")</f>
        <v>Stable</v>
      </c>
      <c r="X481" s="7" t="str">
        <f aca="false">IF(AND(K481&lt;75,I481="Low",J481="Bronze"),"Priority Followup","No Action")</f>
        <v>No Action</v>
      </c>
    </row>
    <row r="482" customFormat="false" ht="15" hidden="false" customHeight="false" outlineLevel="0" collapsed="false">
      <c r="A482" s="2" t="n">
        <v>480</v>
      </c>
      <c r="B482" s="2" t="n">
        <v>47</v>
      </c>
      <c r="C482" s="2" t="s">
        <v>17</v>
      </c>
      <c r="D482" s="2" t="s">
        <v>20</v>
      </c>
      <c r="E482" s="2" t="n">
        <v>37948</v>
      </c>
      <c r="F482" s="2" t="n">
        <v>9</v>
      </c>
      <c r="G482" s="2" t="n">
        <v>4</v>
      </c>
      <c r="H482" s="2" t="n">
        <v>9</v>
      </c>
      <c r="I482" s="2" t="s">
        <v>21</v>
      </c>
      <c r="J482" s="2" t="s">
        <v>19</v>
      </c>
      <c r="K482" s="2" t="n">
        <v>79.28</v>
      </c>
      <c r="L482" s="8" t="str">
        <f aca="false">IF(B482&lt;25,"Gen Z",IF(B482&lt;40,"Millennial",IF(B482&lt;55,"Gen X","Baby Boomer")))</f>
        <v>Gen X</v>
      </c>
      <c r="M482" s="8" t="str">
        <f aca="false">IF(E482&lt;50000,"Low Income",IF(E482&lt;80000,"Middle Income",IF(E482&lt;100000,"Upper Middle","High Income")))</f>
        <v>Low Income</v>
      </c>
      <c r="N482" s="8" t="str">
        <f aca="false">IF(F482&lt;=3,"Poor",IF(F482&lt;=6,"Average",IF(F482&lt;=8,"Good","Excellent")))</f>
        <v>Excellent</v>
      </c>
      <c r="O482" s="8" t="str">
        <f aca="false">IF(G482&lt;=3,"Poor",IF(G482&lt;=6,"Average",IF(G482&lt;=8,"Good","Excellent")))</f>
        <v>Average</v>
      </c>
      <c r="P482" s="8" t="str">
        <f aca="false">IF(H482&lt;=5,"Low Frequency",IF(H482&lt;=10,"Moderate",IF(H482&lt;=15,"High","Very High")))</f>
        <v>Moderate</v>
      </c>
      <c r="Q482" s="8" t="str">
        <f aca="false">IF(K482&gt;=90,"Highly Satisfied",IF(K482&gt;=75,"Satisfied",IF(K482&gt;=60,"Neutral","Dissatisfied")))</f>
        <v>Satisfied</v>
      </c>
      <c r="R482" s="8" t="str">
        <f aca="false">UPPER(LEFT(TRIM(J482),1))&amp;LOWER(MID(TRIM(J482),2,100))</f>
        <v>Silver</v>
      </c>
      <c r="S482" s="8" t="str">
        <f aca="false">IF(I482="High","Positive",IF(I482="Medium","Neutral","Negative"))</f>
        <v>Positive</v>
      </c>
      <c r="T482" s="8" t="str">
        <f aca="false">IF(AND(E482&gt;=80000,H482&gt;=15),"Premium",IF(AND(E482&gt;=50000,H482&gt;=10),"Standard","Basic"))</f>
        <v>Basic</v>
      </c>
      <c r="U482" s="8" t="str">
        <f aca="false">IF(AND(F482&gt;=7,G482&gt;=7),"High Quality Experience","Review Needed")</f>
        <v>Review Needed</v>
      </c>
      <c r="V482" s="8" t="str">
        <f aca="false">IF(H482&gt;=10,"Repeat Buyer","Occasional Buyer")</f>
        <v>Occasional Buyer</v>
      </c>
      <c r="W482" s="8" t="str">
        <f aca="false">IF(AND(K482&lt;70,I482="Low"),"At Risk","Stable")</f>
        <v>Stable</v>
      </c>
      <c r="X482" s="8" t="str">
        <f aca="false">IF(AND(K482&lt;75,I482="Low",J482="Bronze"),"Priority Followup","No Action")</f>
        <v>No Action</v>
      </c>
    </row>
    <row r="483" customFormat="false" ht="15" hidden="false" customHeight="false" outlineLevel="0" collapsed="false">
      <c r="A483" s="3" t="n">
        <v>481</v>
      </c>
      <c r="B483" s="3" t="n">
        <v>36</v>
      </c>
      <c r="C483" s="3" t="s">
        <v>11</v>
      </c>
      <c r="D483" s="3" t="s">
        <v>20</v>
      </c>
      <c r="E483" s="3" t="n">
        <v>100940</v>
      </c>
      <c r="F483" s="3" t="n">
        <v>10</v>
      </c>
      <c r="G483" s="3" t="n">
        <v>2</v>
      </c>
      <c r="H483" s="3" t="n">
        <v>3</v>
      </c>
      <c r="I483" s="3" t="s">
        <v>15</v>
      </c>
      <c r="J483" s="3" t="s">
        <v>14</v>
      </c>
      <c r="K483" s="3" t="n">
        <v>100</v>
      </c>
      <c r="L483" s="7" t="str">
        <f aca="false">IF(B483&lt;25,"Gen Z",IF(B483&lt;40,"Millennial",IF(B483&lt;55,"Gen X","Baby Boomer")))</f>
        <v>Millennial</v>
      </c>
      <c r="M483" s="7" t="str">
        <f aca="false">IF(E483&lt;50000,"Low Income",IF(E483&lt;80000,"Middle Income",IF(E483&lt;100000,"Upper Middle","High Income")))</f>
        <v>High Income</v>
      </c>
      <c r="N483" s="7" t="str">
        <f aca="false">IF(F483&lt;=3,"Poor",IF(F483&lt;=6,"Average",IF(F483&lt;=8,"Good","Excellent")))</f>
        <v>Excellent</v>
      </c>
      <c r="O483" s="7" t="str">
        <f aca="false">IF(G483&lt;=3,"Poor",IF(G483&lt;=6,"Average",IF(G483&lt;=8,"Good","Excellent")))</f>
        <v>Poor</v>
      </c>
      <c r="P483" s="7" t="str">
        <f aca="false">IF(H483&lt;=5,"Low Frequency",IF(H483&lt;=10,"Moderate",IF(H483&lt;=15,"High","Very High")))</f>
        <v>Low Frequency</v>
      </c>
      <c r="Q483" s="7" t="str">
        <f aca="false">IF(K483&gt;=90,"Highly Satisfied",IF(K483&gt;=75,"Satisfied",IF(K483&gt;=60,"Neutral","Dissatisfied")))</f>
        <v>Highly Satisfied</v>
      </c>
      <c r="R483" s="7" t="str">
        <f aca="false">UPPER(LEFT(TRIM(J483),1))&amp;LOWER(MID(TRIM(J483),2,100))</f>
        <v>Bronze</v>
      </c>
      <c r="S483" s="7" t="str">
        <f aca="false">IF(I483="High","Positive",IF(I483="Medium","Neutral","Negative"))</f>
        <v>Neutral</v>
      </c>
      <c r="T483" s="7" t="str">
        <f aca="false">IF(AND(E483&gt;=80000,H483&gt;=15),"Premium",IF(AND(E483&gt;=50000,H483&gt;=10),"Standard","Basic"))</f>
        <v>Basic</v>
      </c>
      <c r="U483" s="7" t="str">
        <f aca="false">IF(AND(F483&gt;=7,G483&gt;=7),"High Quality Experience","Review Needed")</f>
        <v>Review Needed</v>
      </c>
      <c r="V483" s="7" t="str">
        <f aca="false">IF(H483&gt;=10,"Repeat Buyer","Occasional Buyer")</f>
        <v>Occasional Buyer</v>
      </c>
      <c r="W483" s="7" t="str">
        <f aca="false">IF(AND(K483&lt;70,I483="Low"),"At Risk","Stable")</f>
        <v>Stable</v>
      </c>
      <c r="X483" s="7" t="str">
        <f aca="false">IF(AND(K483&lt;75,I483="Low",J483="Bronze"),"Priority Followup","No Action")</f>
        <v>No Action</v>
      </c>
    </row>
    <row r="484" customFormat="false" ht="15" hidden="false" customHeight="false" outlineLevel="0" collapsed="false">
      <c r="A484" s="2" t="n">
        <v>482</v>
      </c>
      <c r="B484" s="2" t="n">
        <v>34</v>
      </c>
      <c r="C484" s="2" t="s">
        <v>11</v>
      </c>
      <c r="D484" s="2" t="s">
        <v>12</v>
      </c>
      <c r="E484" s="2" t="n">
        <v>117393</v>
      </c>
      <c r="F484" s="2" t="n">
        <v>3</v>
      </c>
      <c r="G484" s="2" t="n">
        <v>9</v>
      </c>
      <c r="H484" s="2" t="n">
        <v>15</v>
      </c>
      <c r="I484" s="2" t="s">
        <v>13</v>
      </c>
      <c r="J484" s="2" t="s">
        <v>14</v>
      </c>
      <c r="K484" s="2" t="n">
        <v>100</v>
      </c>
      <c r="L484" s="8" t="str">
        <f aca="false">IF(B484&lt;25,"Gen Z",IF(B484&lt;40,"Millennial",IF(B484&lt;55,"Gen X","Baby Boomer")))</f>
        <v>Millennial</v>
      </c>
      <c r="M484" s="8" t="str">
        <f aca="false">IF(E484&lt;50000,"Low Income",IF(E484&lt;80000,"Middle Income",IF(E484&lt;100000,"Upper Middle","High Income")))</f>
        <v>High Income</v>
      </c>
      <c r="N484" s="8" t="str">
        <f aca="false">IF(F484&lt;=3,"Poor",IF(F484&lt;=6,"Average",IF(F484&lt;=8,"Good","Excellent")))</f>
        <v>Poor</v>
      </c>
      <c r="O484" s="8" t="str">
        <f aca="false">IF(G484&lt;=3,"Poor",IF(G484&lt;=6,"Average",IF(G484&lt;=8,"Good","Excellent")))</f>
        <v>Excellent</v>
      </c>
      <c r="P484" s="8" t="str">
        <f aca="false">IF(H484&lt;=5,"Low Frequency",IF(H484&lt;=10,"Moderate",IF(H484&lt;=15,"High","Very High")))</f>
        <v>High</v>
      </c>
      <c r="Q484" s="8" t="str">
        <f aca="false">IF(K484&gt;=90,"Highly Satisfied",IF(K484&gt;=75,"Satisfied",IF(K484&gt;=60,"Neutral","Dissatisfied")))</f>
        <v>Highly Satisfied</v>
      </c>
      <c r="R484" s="8" t="str">
        <f aca="false">UPPER(LEFT(TRIM(J484),1))&amp;LOWER(MID(TRIM(J484),2,100))</f>
        <v>Bronze</v>
      </c>
      <c r="S484" s="8" t="str">
        <f aca="false">IF(I484="High","Positive",IF(I484="Medium","Neutral","Negative"))</f>
        <v>Negative</v>
      </c>
      <c r="T484" s="8" t="str">
        <f aca="false">IF(AND(E484&gt;=80000,H484&gt;=15),"Premium",IF(AND(E484&gt;=50000,H484&gt;=10),"Standard","Basic"))</f>
        <v>Premium</v>
      </c>
      <c r="U484" s="8" t="str">
        <f aca="false">IF(AND(F484&gt;=7,G484&gt;=7),"High Quality Experience","Review Needed")</f>
        <v>Review Needed</v>
      </c>
      <c r="V484" s="8" t="str">
        <f aca="false">IF(H484&gt;=10,"Repeat Buyer","Occasional Buyer")</f>
        <v>Repeat Buyer</v>
      </c>
      <c r="W484" s="8" t="str">
        <f aca="false">IF(AND(K484&lt;70,I484="Low"),"At Risk","Stable")</f>
        <v>Stable</v>
      </c>
      <c r="X484" s="8" t="str">
        <f aca="false">IF(AND(K484&lt;75,I484="Low",J484="Bronze"),"Priority Followup","No Action")</f>
        <v>No Action</v>
      </c>
    </row>
    <row r="485" customFormat="false" ht="15" hidden="false" customHeight="false" outlineLevel="0" collapsed="false">
      <c r="A485" s="3" t="n">
        <v>483</v>
      </c>
      <c r="B485" s="3" t="n">
        <v>36</v>
      </c>
      <c r="C485" s="3" t="s">
        <v>11</v>
      </c>
      <c r="D485" s="3" t="s">
        <v>22</v>
      </c>
      <c r="E485" s="3" t="n">
        <v>39864</v>
      </c>
      <c r="F485" s="3" t="n">
        <v>6</v>
      </c>
      <c r="G485" s="3" t="n">
        <v>10</v>
      </c>
      <c r="H485" s="3" t="n">
        <v>9</v>
      </c>
      <c r="I485" s="3" t="s">
        <v>21</v>
      </c>
      <c r="J485" s="3" t="s">
        <v>14</v>
      </c>
      <c r="K485" s="3" t="n">
        <v>85.61</v>
      </c>
      <c r="L485" s="7" t="str">
        <f aca="false">IF(B485&lt;25,"Gen Z",IF(B485&lt;40,"Millennial",IF(B485&lt;55,"Gen X","Baby Boomer")))</f>
        <v>Millennial</v>
      </c>
      <c r="M485" s="7" t="str">
        <f aca="false">IF(E485&lt;50000,"Low Income",IF(E485&lt;80000,"Middle Income",IF(E485&lt;100000,"Upper Middle","High Income")))</f>
        <v>Low Income</v>
      </c>
      <c r="N485" s="7" t="str">
        <f aca="false">IF(F485&lt;=3,"Poor",IF(F485&lt;=6,"Average",IF(F485&lt;=8,"Good","Excellent")))</f>
        <v>Average</v>
      </c>
      <c r="O485" s="7" t="str">
        <f aca="false">IF(G485&lt;=3,"Poor",IF(G485&lt;=6,"Average",IF(G485&lt;=8,"Good","Excellent")))</f>
        <v>Excellent</v>
      </c>
      <c r="P485" s="7" t="str">
        <f aca="false">IF(H485&lt;=5,"Low Frequency",IF(H485&lt;=10,"Moderate",IF(H485&lt;=15,"High","Very High")))</f>
        <v>Moderate</v>
      </c>
      <c r="Q485" s="7" t="str">
        <f aca="false">IF(K485&gt;=90,"Highly Satisfied",IF(K485&gt;=75,"Satisfied",IF(K485&gt;=60,"Neutral","Dissatisfied")))</f>
        <v>Satisfied</v>
      </c>
      <c r="R485" s="7" t="str">
        <f aca="false">UPPER(LEFT(TRIM(J485),1))&amp;LOWER(MID(TRIM(J485),2,100))</f>
        <v>Bronze</v>
      </c>
      <c r="S485" s="7" t="str">
        <f aca="false">IF(I485="High","Positive",IF(I485="Medium","Neutral","Negative"))</f>
        <v>Positive</v>
      </c>
      <c r="T485" s="7" t="str">
        <f aca="false">IF(AND(E485&gt;=80000,H485&gt;=15),"Premium",IF(AND(E485&gt;=50000,H485&gt;=10),"Standard","Basic"))</f>
        <v>Basic</v>
      </c>
      <c r="U485" s="7" t="str">
        <f aca="false">IF(AND(F485&gt;=7,G485&gt;=7),"High Quality Experience","Review Needed")</f>
        <v>Review Needed</v>
      </c>
      <c r="V485" s="7" t="str">
        <f aca="false">IF(H485&gt;=10,"Repeat Buyer","Occasional Buyer")</f>
        <v>Occasional Buyer</v>
      </c>
      <c r="W485" s="7" t="str">
        <f aca="false">IF(AND(K485&lt;70,I485="Low"),"At Risk","Stable")</f>
        <v>Stable</v>
      </c>
      <c r="X485" s="7" t="str">
        <f aca="false">IF(AND(K485&lt;75,I485="Low",J485="Bronze"),"Priority Followup","No Action")</f>
        <v>No Action</v>
      </c>
    </row>
    <row r="486" customFormat="false" ht="15" hidden="false" customHeight="false" outlineLevel="0" collapsed="false">
      <c r="A486" s="2" t="n">
        <v>484</v>
      </c>
      <c r="B486" s="2" t="n">
        <v>45</v>
      </c>
      <c r="C486" s="2" t="s">
        <v>11</v>
      </c>
      <c r="D486" s="2" t="s">
        <v>12</v>
      </c>
      <c r="E486" s="2" t="n">
        <v>93170</v>
      </c>
      <c r="F486" s="2" t="n">
        <v>9</v>
      </c>
      <c r="G486" s="2" t="n">
        <v>4</v>
      </c>
      <c r="H486" s="2" t="n">
        <v>6</v>
      </c>
      <c r="I486" s="2" t="s">
        <v>15</v>
      </c>
      <c r="J486" s="2" t="s">
        <v>16</v>
      </c>
      <c r="K486" s="2" t="n">
        <v>97.55</v>
      </c>
      <c r="L486" s="8" t="str">
        <f aca="false">IF(B486&lt;25,"Gen Z",IF(B486&lt;40,"Millennial",IF(B486&lt;55,"Gen X","Baby Boomer")))</f>
        <v>Gen X</v>
      </c>
      <c r="M486" s="8" t="str">
        <f aca="false">IF(E486&lt;50000,"Low Income",IF(E486&lt;80000,"Middle Income",IF(E486&lt;100000,"Upper Middle","High Income")))</f>
        <v>Upper Middle</v>
      </c>
      <c r="N486" s="8" t="str">
        <f aca="false">IF(F486&lt;=3,"Poor",IF(F486&lt;=6,"Average",IF(F486&lt;=8,"Good","Excellent")))</f>
        <v>Excellent</v>
      </c>
      <c r="O486" s="8" t="str">
        <f aca="false">IF(G486&lt;=3,"Poor",IF(G486&lt;=6,"Average",IF(G486&lt;=8,"Good","Excellent")))</f>
        <v>Average</v>
      </c>
      <c r="P486" s="8" t="str">
        <f aca="false">IF(H486&lt;=5,"Low Frequency",IF(H486&lt;=10,"Moderate",IF(H486&lt;=15,"High","Very High")))</f>
        <v>Moderate</v>
      </c>
      <c r="Q486" s="8" t="str">
        <f aca="false">IF(K486&gt;=90,"Highly Satisfied",IF(K486&gt;=75,"Satisfied",IF(K486&gt;=60,"Neutral","Dissatisfied")))</f>
        <v>Highly Satisfied</v>
      </c>
      <c r="R486" s="8" t="str">
        <f aca="false">UPPER(LEFT(TRIM(J486),1))&amp;LOWER(MID(TRIM(J486),2,100))</f>
        <v>Gold</v>
      </c>
      <c r="S486" s="8" t="str">
        <f aca="false">IF(I486="High","Positive",IF(I486="Medium","Neutral","Negative"))</f>
        <v>Neutral</v>
      </c>
      <c r="T486" s="8" t="str">
        <f aca="false">IF(AND(E486&gt;=80000,H486&gt;=15),"Premium",IF(AND(E486&gt;=50000,H486&gt;=10),"Standard","Basic"))</f>
        <v>Basic</v>
      </c>
      <c r="U486" s="8" t="str">
        <f aca="false">IF(AND(F486&gt;=7,G486&gt;=7),"High Quality Experience","Review Needed")</f>
        <v>Review Needed</v>
      </c>
      <c r="V486" s="8" t="str">
        <f aca="false">IF(H486&gt;=10,"Repeat Buyer","Occasional Buyer")</f>
        <v>Occasional Buyer</v>
      </c>
      <c r="W486" s="8" t="str">
        <f aca="false">IF(AND(K486&lt;70,I486="Low"),"At Risk","Stable")</f>
        <v>Stable</v>
      </c>
      <c r="X486" s="8" t="str">
        <f aca="false">IF(AND(K486&lt;75,I486="Low",J486="Bronze"),"Priority Followup","No Action")</f>
        <v>No Action</v>
      </c>
    </row>
    <row r="487" customFormat="false" ht="15" hidden="false" customHeight="false" outlineLevel="0" collapsed="false">
      <c r="A487" s="3" t="n">
        <v>485</v>
      </c>
      <c r="B487" s="3" t="n">
        <v>43</v>
      </c>
      <c r="C487" s="3" t="s">
        <v>11</v>
      </c>
      <c r="D487" s="3" t="s">
        <v>12</v>
      </c>
      <c r="E487" s="3" t="n">
        <v>112109</v>
      </c>
      <c r="F487" s="3" t="n">
        <v>3</v>
      </c>
      <c r="G487" s="3" t="n">
        <v>7</v>
      </c>
      <c r="H487" s="3" t="n">
        <v>14</v>
      </c>
      <c r="I487" s="3" t="s">
        <v>15</v>
      </c>
      <c r="J487" s="3" t="s">
        <v>19</v>
      </c>
      <c r="K487" s="3" t="n">
        <v>100</v>
      </c>
      <c r="L487" s="7" t="str">
        <f aca="false">IF(B487&lt;25,"Gen Z",IF(B487&lt;40,"Millennial",IF(B487&lt;55,"Gen X","Baby Boomer")))</f>
        <v>Gen X</v>
      </c>
      <c r="M487" s="7" t="str">
        <f aca="false">IF(E487&lt;50000,"Low Income",IF(E487&lt;80000,"Middle Income",IF(E487&lt;100000,"Upper Middle","High Income")))</f>
        <v>High Income</v>
      </c>
      <c r="N487" s="7" t="str">
        <f aca="false">IF(F487&lt;=3,"Poor",IF(F487&lt;=6,"Average",IF(F487&lt;=8,"Good","Excellent")))</f>
        <v>Poor</v>
      </c>
      <c r="O487" s="7" t="str">
        <f aca="false">IF(G487&lt;=3,"Poor",IF(G487&lt;=6,"Average",IF(G487&lt;=8,"Good","Excellent")))</f>
        <v>Good</v>
      </c>
      <c r="P487" s="7" t="str">
        <f aca="false">IF(H487&lt;=5,"Low Frequency",IF(H487&lt;=10,"Moderate",IF(H487&lt;=15,"High","Very High")))</f>
        <v>High</v>
      </c>
      <c r="Q487" s="7" t="str">
        <f aca="false">IF(K487&gt;=90,"Highly Satisfied",IF(K487&gt;=75,"Satisfied",IF(K487&gt;=60,"Neutral","Dissatisfied")))</f>
        <v>Highly Satisfied</v>
      </c>
      <c r="R487" s="7" t="str">
        <f aca="false">UPPER(LEFT(TRIM(J487),1))&amp;LOWER(MID(TRIM(J487),2,100))</f>
        <v>Silver</v>
      </c>
      <c r="S487" s="7" t="str">
        <f aca="false">IF(I487="High","Positive",IF(I487="Medium","Neutral","Negative"))</f>
        <v>Neutral</v>
      </c>
      <c r="T487" s="7" t="str">
        <f aca="false">IF(AND(E487&gt;=80000,H487&gt;=15),"Premium",IF(AND(E487&gt;=50000,H487&gt;=10),"Standard","Basic"))</f>
        <v>Standard</v>
      </c>
      <c r="U487" s="7" t="str">
        <f aca="false">IF(AND(F487&gt;=7,G487&gt;=7),"High Quality Experience","Review Needed")</f>
        <v>Review Needed</v>
      </c>
      <c r="V487" s="7" t="str">
        <f aca="false">IF(H487&gt;=10,"Repeat Buyer","Occasional Buyer")</f>
        <v>Repeat Buyer</v>
      </c>
      <c r="W487" s="7" t="str">
        <f aca="false">IF(AND(K487&lt;70,I487="Low"),"At Risk","Stable")</f>
        <v>Stable</v>
      </c>
      <c r="X487" s="7" t="str">
        <f aca="false">IF(AND(K487&lt;75,I487="Low",J487="Bronze"),"Priority Followup","No Action")</f>
        <v>No Action</v>
      </c>
    </row>
    <row r="488" customFormat="false" ht="15" hidden="false" customHeight="false" outlineLevel="0" collapsed="false">
      <c r="A488" s="2" t="n">
        <v>486</v>
      </c>
      <c r="B488" s="2" t="n">
        <v>54</v>
      </c>
      <c r="C488" s="2" t="s">
        <v>17</v>
      </c>
      <c r="D488" s="2" t="s">
        <v>23</v>
      </c>
      <c r="E488" s="2" t="n">
        <v>74765</v>
      </c>
      <c r="F488" s="2" t="n">
        <v>7</v>
      </c>
      <c r="G488" s="2" t="n">
        <v>1</v>
      </c>
      <c r="H488" s="2" t="n">
        <v>20</v>
      </c>
      <c r="I488" s="2" t="s">
        <v>13</v>
      </c>
      <c r="J488" s="2" t="s">
        <v>14</v>
      </c>
      <c r="K488" s="2" t="n">
        <v>81.49</v>
      </c>
      <c r="L488" s="8" t="str">
        <f aca="false">IF(B488&lt;25,"Gen Z",IF(B488&lt;40,"Millennial",IF(B488&lt;55,"Gen X","Baby Boomer")))</f>
        <v>Gen X</v>
      </c>
      <c r="M488" s="8" t="str">
        <f aca="false">IF(E488&lt;50000,"Low Income",IF(E488&lt;80000,"Middle Income",IF(E488&lt;100000,"Upper Middle","High Income")))</f>
        <v>Middle Income</v>
      </c>
      <c r="N488" s="8" t="str">
        <f aca="false">IF(F488&lt;=3,"Poor",IF(F488&lt;=6,"Average",IF(F488&lt;=8,"Good","Excellent")))</f>
        <v>Good</v>
      </c>
      <c r="O488" s="8" t="str">
        <f aca="false">IF(G488&lt;=3,"Poor",IF(G488&lt;=6,"Average",IF(G488&lt;=8,"Good","Excellent")))</f>
        <v>Poor</v>
      </c>
      <c r="P488" s="8" t="str">
        <f aca="false">IF(H488&lt;=5,"Low Frequency",IF(H488&lt;=10,"Moderate",IF(H488&lt;=15,"High","Very High")))</f>
        <v>Very High</v>
      </c>
      <c r="Q488" s="8" t="str">
        <f aca="false">IF(K488&gt;=90,"Highly Satisfied",IF(K488&gt;=75,"Satisfied",IF(K488&gt;=60,"Neutral","Dissatisfied")))</f>
        <v>Satisfied</v>
      </c>
      <c r="R488" s="8" t="str">
        <f aca="false">UPPER(LEFT(TRIM(J488),1))&amp;LOWER(MID(TRIM(J488),2,100))</f>
        <v>Bronze</v>
      </c>
      <c r="S488" s="8" t="str">
        <f aca="false">IF(I488="High","Positive",IF(I488="Medium","Neutral","Negative"))</f>
        <v>Negative</v>
      </c>
      <c r="T488" s="8" t="str">
        <f aca="false">IF(AND(E488&gt;=80000,H488&gt;=15),"Premium",IF(AND(E488&gt;=50000,H488&gt;=10),"Standard","Basic"))</f>
        <v>Standard</v>
      </c>
      <c r="U488" s="8" t="str">
        <f aca="false">IF(AND(F488&gt;=7,G488&gt;=7),"High Quality Experience","Review Needed")</f>
        <v>Review Needed</v>
      </c>
      <c r="V488" s="8" t="str">
        <f aca="false">IF(H488&gt;=10,"Repeat Buyer","Occasional Buyer")</f>
        <v>Repeat Buyer</v>
      </c>
      <c r="W488" s="8" t="str">
        <f aca="false">IF(AND(K488&lt;70,I488="Low"),"At Risk","Stable")</f>
        <v>Stable</v>
      </c>
      <c r="X488" s="8" t="str">
        <f aca="false">IF(AND(K488&lt;75,I488="Low",J488="Bronze"),"Priority Followup","No Action")</f>
        <v>No Action</v>
      </c>
    </row>
    <row r="489" customFormat="false" ht="15" hidden="false" customHeight="false" outlineLevel="0" collapsed="false">
      <c r="A489" s="3" t="n">
        <v>487</v>
      </c>
      <c r="B489" s="3" t="n">
        <v>43</v>
      </c>
      <c r="C489" s="3" t="s">
        <v>17</v>
      </c>
      <c r="D489" s="3" t="s">
        <v>23</v>
      </c>
      <c r="E489" s="3" t="n">
        <v>110706</v>
      </c>
      <c r="F489" s="3" t="n">
        <v>2</v>
      </c>
      <c r="G489" s="3" t="n">
        <v>3</v>
      </c>
      <c r="H489" s="3" t="n">
        <v>14</v>
      </c>
      <c r="I489" s="3" t="s">
        <v>15</v>
      </c>
      <c r="J489" s="3" t="s">
        <v>19</v>
      </c>
      <c r="K489" s="3" t="n">
        <v>65.65</v>
      </c>
      <c r="L489" s="7" t="str">
        <f aca="false">IF(B489&lt;25,"Gen Z",IF(B489&lt;40,"Millennial",IF(B489&lt;55,"Gen X","Baby Boomer")))</f>
        <v>Gen X</v>
      </c>
      <c r="M489" s="7" t="str">
        <f aca="false">IF(E489&lt;50000,"Low Income",IF(E489&lt;80000,"Middle Income",IF(E489&lt;100000,"Upper Middle","High Income")))</f>
        <v>High Income</v>
      </c>
      <c r="N489" s="7" t="str">
        <f aca="false">IF(F489&lt;=3,"Poor",IF(F489&lt;=6,"Average",IF(F489&lt;=8,"Good","Excellent")))</f>
        <v>Poor</v>
      </c>
      <c r="O489" s="7" t="str">
        <f aca="false">IF(G489&lt;=3,"Poor",IF(G489&lt;=6,"Average",IF(G489&lt;=8,"Good","Excellent")))</f>
        <v>Poor</v>
      </c>
      <c r="P489" s="7" t="str">
        <f aca="false">IF(H489&lt;=5,"Low Frequency",IF(H489&lt;=10,"Moderate",IF(H489&lt;=15,"High","Very High")))</f>
        <v>High</v>
      </c>
      <c r="Q489" s="7" t="str">
        <f aca="false">IF(K489&gt;=90,"Highly Satisfied",IF(K489&gt;=75,"Satisfied",IF(K489&gt;=60,"Neutral","Dissatisfied")))</f>
        <v>Neutral</v>
      </c>
      <c r="R489" s="7" t="str">
        <f aca="false">UPPER(LEFT(TRIM(J489),1))&amp;LOWER(MID(TRIM(J489),2,100))</f>
        <v>Silver</v>
      </c>
      <c r="S489" s="7" t="str">
        <f aca="false">IF(I489="High","Positive",IF(I489="Medium","Neutral","Negative"))</f>
        <v>Neutral</v>
      </c>
      <c r="T489" s="7" t="str">
        <f aca="false">IF(AND(E489&gt;=80000,H489&gt;=15),"Premium",IF(AND(E489&gt;=50000,H489&gt;=10),"Standard","Basic"))</f>
        <v>Standard</v>
      </c>
      <c r="U489" s="7" t="str">
        <f aca="false">IF(AND(F489&gt;=7,G489&gt;=7),"High Quality Experience","Review Needed")</f>
        <v>Review Needed</v>
      </c>
      <c r="V489" s="7" t="str">
        <f aca="false">IF(H489&gt;=10,"Repeat Buyer","Occasional Buyer")</f>
        <v>Repeat Buyer</v>
      </c>
      <c r="W489" s="7" t="str">
        <f aca="false">IF(AND(K489&lt;70,I489="Low"),"At Risk","Stable")</f>
        <v>Stable</v>
      </c>
      <c r="X489" s="7" t="str">
        <f aca="false">IF(AND(K489&lt;75,I489="Low",J489="Bronze"),"Priority Followup","No Action")</f>
        <v>No Action</v>
      </c>
    </row>
    <row r="490" customFormat="false" ht="15" hidden="false" customHeight="false" outlineLevel="0" collapsed="false">
      <c r="A490" s="2" t="n">
        <v>488</v>
      </c>
      <c r="B490" s="2" t="n">
        <v>40</v>
      </c>
      <c r="C490" s="2" t="s">
        <v>17</v>
      </c>
      <c r="D490" s="2" t="s">
        <v>18</v>
      </c>
      <c r="E490" s="2" t="n">
        <v>109984</v>
      </c>
      <c r="F490" s="2" t="n">
        <v>6</v>
      </c>
      <c r="G490" s="2" t="n">
        <v>8</v>
      </c>
      <c r="H490" s="2" t="n">
        <v>15</v>
      </c>
      <c r="I490" s="2" t="s">
        <v>15</v>
      </c>
      <c r="J490" s="2" t="s">
        <v>19</v>
      </c>
      <c r="K490" s="2" t="n">
        <v>100</v>
      </c>
      <c r="L490" s="8" t="str">
        <f aca="false">IF(B490&lt;25,"Gen Z",IF(B490&lt;40,"Millennial",IF(B490&lt;55,"Gen X","Baby Boomer")))</f>
        <v>Gen X</v>
      </c>
      <c r="M490" s="8" t="str">
        <f aca="false">IF(E490&lt;50000,"Low Income",IF(E490&lt;80000,"Middle Income",IF(E490&lt;100000,"Upper Middle","High Income")))</f>
        <v>High Income</v>
      </c>
      <c r="N490" s="8" t="str">
        <f aca="false">IF(F490&lt;=3,"Poor",IF(F490&lt;=6,"Average",IF(F490&lt;=8,"Good","Excellent")))</f>
        <v>Average</v>
      </c>
      <c r="O490" s="8" t="str">
        <f aca="false">IF(G490&lt;=3,"Poor",IF(G490&lt;=6,"Average",IF(G490&lt;=8,"Good","Excellent")))</f>
        <v>Good</v>
      </c>
      <c r="P490" s="8" t="str">
        <f aca="false">IF(H490&lt;=5,"Low Frequency",IF(H490&lt;=10,"Moderate",IF(H490&lt;=15,"High","Very High")))</f>
        <v>High</v>
      </c>
      <c r="Q490" s="8" t="str">
        <f aca="false">IF(K490&gt;=90,"Highly Satisfied",IF(K490&gt;=75,"Satisfied",IF(K490&gt;=60,"Neutral","Dissatisfied")))</f>
        <v>Highly Satisfied</v>
      </c>
      <c r="R490" s="8" t="str">
        <f aca="false">UPPER(LEFT(TRIM(J490),1))&amp;LOWER(MID(TRIM(J490),2,100))</f>
        <v>Silver</v>
      </c>
      <c r="S490" s="8" t="str">
        <f aca="false">IF(I490="High","Positive",IF(I490="Medium","Neutral","Negative"))</f>
        <v>Neutral</v>
      </c>
      <c r="T490" s="8" t="str">
        <f aca="false">IF(AND(E490&gt;=80000,H490&gt;=15),"Premium",IF(AND(E490&gt;=50000,H490&gt;=10),"Standard","Basic"))</f>
        <v>Premium</v>
      </c>
      <c r="U490" s="8" t="str">
        <f aca="false">IF(AND(F490&gt;=7,G490&gt;=7),"High Quality Experience","Review Needed")</f>
        <v>Review Needed</v>
      </c>
      <c r="V490" s="8" t="str">
        <f aca="false">IF(H490&gt;=10,"Repeat Buyer","Occasional Buyer")</f>
        <v>Repeat Buyer</v>
      </c>
      <c r="W490" s="8" t="str">
        <f aca="false">IF(AND(K490&lt;70,I490="Low"),"At Risk","Stable")</f>
        <v>Stable</v>
      </c>
      <c r="X490" s="8" t="str">
        <f aca="false">IF(AND(K490&lt;75,I490="Low",J490="Bronze"),"Priority Followup","No Action")</f>
        <v>No Action</v>
      </c>
    </row>
    <row r="491" customFormat="false" ht="15" hidden="false" customHeight="false" outlineLevel="0" collapsed="false">
      <c r="A491" s="3" t="n">
        <v>489</v>
      </c>
      <c r="B491" s="3" t="n">
        <v>26</v>
      </c>
      <c r="C491" s="3" t="s">
        <v>17</v>
      </c>
      <c r="D491" s="3" t="s">
        <v>12</v>
      </c>
      <c r="E491" s="3" t="n">
        <v>65517</v>
      </c>
      <c r="F491" s="3" t="n">
        <v>7</v>
      </c>
      <c r="G491" s="3" t="n">
        <v>8</v>
      </c>
      <c r="H491" s="3" t="n">
        <v>17</v>
      </c>
      <c r="I491" s="3" t="s">
        <v>21</v>
      </c>
      <c r="J491" s="3" t="s">
        <v>14</v>
      </c>
      <c r="K491" s="3" t="n">
        <v>100</v>
      </c>
      <c r="L491" s="7" t="str">
        <f aca="false">IF(B491&lt;25,"Gen Z",IF(B491&lt;40,"Millennial",IF(B491&lt;55,"Gen X","Baby Boomer")))</f>
        <v>Millennial</v>
      </c>
      <c r="M491" s="7" t="str">
        <f aca="false">IF(E491&lt;50000,"Low Income",IF(E491&lt;80000,"Middle Income",IF(E491&lt;100000,"Upper Middle","High Income")))</f>
        <v>Middle Income</v>
      </c>
      <c r="N491" s="7" t="str">
        <f aca="false">IF(F491&lt;=3,"Poor",IF(F491&lt;=6,"Average",IF(F491&lt;=8,"Good","Excellent")))</f>
        <v>Good</v>
      </c>
      <c r="O491" s="7" t="str">
        <f aca="false">IF(G491&lt;=3,"Poor",IF(G491&lt;=6,"Average",IF(G491&lt;=8,"Good","Excellent")))</f>
        <v>Good</v>
      </c>
      <c r="P491" s="7" t="str">
        <f aca="false">IF(H491&lt;=5,"Low Frequency",IF(H491&lt;=10,"Moderate",IF(H491&lt;=15,"High","Very High")))</f>
        <v>Very High</v>
      </c>
      <c r="Q491" s="7" t="str">
        <f aca="false">IF(K491&gt;=90,"Highly Satisfied",IF(K491&gt;=75,"Satisfied",IF(K491&gt;=60,"Neutral","Dissatisfied")))</f>
        <v>Highly Satisfied</v>
      </c>
      <c r="R491" s="7" t="str">
        <f aca="false">UPPER(LEFT(TRIM(J491),1))&amp;LOWER(MID(TRIM(J491),2,100))</f>
        <v>Bronze</v>
      </c>
      <c r="S491" s="7" t="str">
        <f aca="false">IF(I491="High","Positive",IF(I491="Medium","Neutral","Negative"))</f>
        <v>Positive</v>
      </c>
      <c r="T491" s="7" t="str">
        <f aca="false">IF(AND(E491&gt;=80000,H491&gt;=15),"Premium",IF(AND(E491&gt;=50000,H491&gt;=10),"Standard","Basic"))</f>
        <v>Standard</v>
      </c>
      <c r="U491" s="7" t="str">
        <f aca="false">IF(AND(F491&gt;=7,G491&gt;=7),"High Quality Experience","Review Needed")</f>
        <v>High Quality Experience</v>
      </c>
      <c r="V491" s="7" t="str">
        <f aca="false">IF(H491&gt;=10,"Repeat Buyer","Occasional Buyer")</f>
        <v>Repeat Buyer</v>
      </c>
      <c r="W491" s="7" t="str">
        <f aca="false">IF(AND(K491&lt;70,I491="Low"),"At Risk","Stable")</f>
        <v>Stable</v>
      </c>
      <c r="X491" s="7" t="str">
        <f aca="false">IF(AND(K491&lt;75,I491="Low",J491="Bronze"),"Priority Followup","No Action")</f>
        <v>No Action</v>
      </c>
    </row>
    <row r="492" customFormat="false" ht="15" hidden="false" customHeight="false" outlineLevel="0" collapsed="false">
      <c r="A492" s="2" t="n">
        <v>490</v>
      </c>
      <c r="B492" s="2" t="n">
        <v>29</v>
      </c>
      <c r="C492" s="2" t="s">
        <v>11</v>
      </c>
      <c r="D492" s="2" t="s">
        <v>18</v>
      </c>
      <c r="E492" s="2" t="n">
        <v>32493</v>
      </c>
      <c r="F492" s="2" t="n">
        <v>8</v>
      </c>
      <c r="G492" s="2" t="n">
        <v>4</v>
      </c>
      <c r="H492" s="2" t="n">
        <v>20</v>
      </c>
      <c r="I492" s="2" t="s">
        <v>13</v>
      </c>
      <c r="J492" s="2" t="s">
        <v>16</v>
      </c>
      <c r="K492" s="2" t="n">
        <v>95.16</v>
      </c>
      <c r="L492" s="8" t="str">
        <f aca="false">IF(B492&lt;25,"Gen Z",IF(B492&lt;40,"Millennial",IF(B492&lt;55,"Gen X","Baby Boomer")))</f>
        <v>Millennial</v>
      </c>
      <c r="M492" s="8" t="str">
        <f aca="false">IF(E492&lt;50000,"Low Income",IF(E492&lt;80000,"Middle Income",IF(E492&lt;100000,"Upper Middle","High Income")))</f>
        <v>Low Income</v>
      </c>
      <c r="N492" s="8" t="str">
        <f aca="false">IF(F492&lt;=3,"Poor",IF(F492&lt;=6,"Average",IF(F492&lt;=8,"Good","Excellent")))</f>
        <v>Good</v>
      </c>
      <c r="O492" s="8" t="str">
        <f aca="false">IF(G492&lt;=3,"Poor",IF(G492&lt;=6,"Average",IF(G492&lt;=8,"Good","Excellent")))</f>
        <v>Average</v>
      </c>
      <c r="P492" s="8" t="str">
        <f aca="false">IF(H492&lt;=5,"Low Frequency",IF(H492&lt;=10,"Moderate",IF(H492&lt;=15,"High","Very High")))</f>
        <v>Very High</v>
      </c>
      <c r="Q492" s="8" t="str">
        <f aca="false">IF(K492&gt;=90,"Highly Satisfied",IF(K492&gt;=75,"Satisfied",IF(K492&gt;=60,"Neutral","Dissatisfied")))</f>
        <v>Highly Satisfied</v>
      </c>
      <c r="R492" s="8" t="str">
        <f aca="false">UPPER(LEFT(TRIM(J492),1))&amp;LOWER(MID(TRIM(J492),2,100))</f>
        <v>Gold</v>
      </c>
      <c r="S492" s="8" t="str">
        <f aca="false">IF(I492="High","Positive",IF(I492="Medium","Neutral","Negative"))</f>
        <v>Negative</v>
      </c>
      <c r="T492" s="8" t="str">
        <f aca="false">IF(AND(E492&gt;=80000,H492&gt;=15),"Premium",IF(AND(E492&gt;=50000,H492&gt;=10),"Standard","Basic"))</f>
        <v>Basic</v>
      </c>
      <c r="U492" s="8" t="str">
        <f aca="false">IF(AND(F492&gt;=7,G492&gt;=7),"High Quality Experience","Review Needed")</f>
        <v>Review Needed</v>
      </c>
      <c r="V492" s="8" t="str">
        <f aca="false">IF(H492&gt;=10,"Repeat Buyer","Occasional Buyer")</f>
        <v>Repeat Buyer</v>
      </c>
      <c r="W492" s="8" t="str">
        <f aca="false">IF(AND(K492&lt;70,I492="Low"),"At Risk","Stable")</f>
        <v>Stable</v>
      </c>
      <c r="X492" s="8" t="str">
        <f aca="false">IF(AND(K492&lt;75,I492="Low",J492="Bronze"),"Priority Followup","No Action")</f>
        <v>No Action</v>
      </c>
    </row>
    <row r="493" customFormat="false" ht="15" hidden="false" customHeight="false" outlineLevel="0" collapsed="false">
      <c r="A493" s="3" t="n">
        <v>491</v>
      </c>
      <c r="B493" s="3" t="n">
        <v>18</v>
      </c>
      <c r="C493" s="3" t="s">
        <v>11</v>
      </c>
      <c r="D493" s="3" t="s">
        <v>20</v>
      </c>
      <c r="E493" s="3" t="n">
        <v>66539</v>
      </c>
      <c r="F493" s="3" t="n">
        <v>2</v>
      </c>
      <c r="G493" s="3" t="n">
        <v>9</v>
      </c>
      <c r="H493" s="3" t="n">
        <v>8</v>
      </c>
      <c r="I493" s="3" t="s">
        <v>15</v>
      </c>
      <c r="J493" s="3" t="s">
        <v>14</v>
      </c>
      <c r="K493" s="3" t="n">
        <v>85.24</v>
      </c>
      <c r="L493" s="7" t="str">
        <f aca="false">IF(B493&lt;25,"Gen Z",IF(B493&lt;40,"Millennial",IF(B493&lt;55,"Gen X","Baby Boomer")))</f>
        <v>Gen Z</v>
      </c>
      <c r="M493" s="7" t="str">
        <f aca="false">IF(E493&lt;50000,"Low Income",IF(E493&lt;80000,"Middle Income",IF(E493&lt;100000,"Upper Middle","High Income")))</f>
        <v>Middle Income</v>
      </c>
      <c r="N493" s="7" t="str">
        <f aca="false">IF(F493&lt;=3,"Poor",IF(F493&lt;=6,"Average",IF(F493&lt;=8,"Good","Excellent")))</f>
        <v>Poor</v>
      </c>
      <c r="O493" s="7" t="str">
        <f aca="false">IF(G493&lt;=3,"Poor",IF(G493&lt;=6,"Average",IF(G493&lt;=8,"Good","Excellent")))</f>
        <v>Excellent</v>
      </c>
      <c r="P493" s="7" t="str">
        <f aca="false">IF(H493&lt;=5,"Low Frequency",IF(H493&lt;=10,"Moderate",IF(H493&lt;=15,"High","Very High")))</f>
        <v>Moderate</v>
      </c>
      <c r="Q493" s="7" t="str">
        <f aca="false">IF(K493&gt;=90,"Highly Satisfied",IF(K493&gt;=75,"Satisfied",IF(K493&gt;=60,"Neutral","Dissatisfied")))</f>
        <v>Satisfied</v>
      </c>
      <c r="R493" s="7" t="str">
        <f aca="false">UPPER(LEFT(TRIM(J493),1))&amp;LOWER(MID(TRIM(J493),2,100))</f>
        <v>Bronze</v>
      </c>
      <c r="S493" s="7" t="str">
        <f aca="false">IF(I493="High","Positive",IF(I493="Medium","Neutral","Negative"))</f>
        <v>Neutral</v>
      </c>
      <c r="T493" s="7" t="str">
        <f aca="false">IF(AND(E493&gt;=80000,H493&gt;=15),"Premium",IF(AND(E493&gt;=50000,H493&gt;=10),"Standard","Basic"))</f>
        <v>Basic</v>
      </c>
      <c r="U493" s="7" t="str">
        <f aca="false">IF(AND(F493&gt;=7,G493&gt;=7),"High Quality Experience","Review Needed")</f>
        <v>Review Needed</v>
      </c>
      <c r="V493" s="7" t="str">
        <f aca="false">IF(H493&gt;=10,"Repeat Buyer","Occasional Buyer")</f>
        <v>Occasional Buyer</v>
      </c>
      <c r="W493" s="7" t="str">
        <f aca="false">IF(AND(K493&lt;70,I493="Low"),"At Risk","Stable")</f>
        <v>Stable</v>
      </c>
      <c r="X493" s="7" t="str">
        <f aca="false">IF(AND(K493&lt;75,I493="Low",J493="Bronze"),"Priority Followup","No Action")</f>
        <v>No Action</v>
      </c>
    </row>
    <row r="494" customFormat="false" ht="15" hidden="false" customHeight="false" outlineLevel="0" collapsed="false">
      <c r="A494" s="2" t="n">
        <v>492</v>
      </c>
      <c r="B494" s="2" t="n">
        <v>18</v>
      </c>
      <c r="C494" s="2" t="s">
        <v>17</v>
      </c>
      <c r="D494" s="2" t="s">
        <v>18</v>
      </c>
      <c r="E494" s="2" t="n">
        <v>34528</v>
      </c>
      <c r="F494" s="2" t="n">
        <v>1</v>
      </c>
      <c r="G494" s="2" t="n">
        <v>6</v>
      </c>
      <c r="H494" s="2" t="n">
        <v>7</v>
      </c>
      <c r="I494" s="2" t="s">
        <v>21</v>
      </c>
      <c r="J494" s="2" t="s">
        <v>19</v>
      </c>
      <c r="K494" s="2" t="n">
        <v>51.56</v>
      </c>
      <c r="L494" s="8" t="str">
        <f aca="false">IF(B494&lt;25,"Gen Z",IF(B494&lt;40,"Millennial",IF(B494&lt;55,"Gen X","Baby Boomer")))</f>
        <v>Gen Z</v>
      </c>
      <c r="M494" s="8" t="str">
        <f aca="false">IF(E494&lt;50000,"Low Income",IF(E494&lt;80000,"Middle Income",IF(E494&lt;100000,"Upper Middle","High Income")))</f>
        <v>Low Income</v>
      </c>
      <c r="N494" s="8" t="str">
        <f aca="false">IF(F494&lt;=3,"Poor",IF(F494&lt;=6,"Average",IF(F494&lt;=8,"Good","Excellent")))</f>
        <v>Poor</v>
      </c>
      <c r="O494" s="8" t="str">
        <f aca="false">IF(G494&lt;=3,"Poor",IF(G494&lt;=6,"Average",IF(G494&lt;=8,"Good","Excellent")))</f>
        <v>Average</v>
      </c>
      <c r="P494" s="8" t="str">
        <f aca="false">IF(H494&lt;=5,"Low Frequency",IF(H494&lt;=10,"Moderate",IF(H494&lt;=15,"High","Very High")))</f>
        <v>Moderate</v>
      </c>
      <c r="Q494" s="8" t="str">
        <f aca="false">IF(K494&gt;=90,"Highly Satisfied",IF(K494&gt;=75,"Satisfied",IF(K494&gt;=60,"Neutral","Dissatisfied")))</f>
        <v>Dissatisfied</v>
      </c>
      <c r="R494" s="8" t="str">
        <f aca="false">UPPER(LEFT(TRIM(J494),1))&amp;LOWER(MID(TRIM(J494),2,100))</f>
        <v>Silver</v>
      </c>
      <c r="S494" s="8" t="str">
        <f aca="false">IF(I494="High","Positive",IF(I494="Medium","Neutral","Negative"))</f>
        <v>Positive</v>
      </c>
      <c r="T494" s="8" t="str">
        <f aca="false">IF(AND(E494&gt;=80000,H494&gt;=15),"Premium",IF(AND(E494&gt;=50000,H494&gt;=10),"Standard","Basic"))</f>
        <v>Basic</v>
      </c>
      <c r="U494" s="8" t="str">
        <f aca="false">IF(AND(F494&gt;=7,G494&gt;=7),"High Quality Experience","Review Needed")</f>
        <v>Review Needed</v>
      </c>
      <c r="V494" s="8" t="str">
        <f aca="false">IF(H494&gt;=10,"Repeat Buyer","Occasional Buyer")</f>
        <v>Occasional Buyer</v>
      </c>
      <c r="W494" s="8" t="str">
        <f aca="false">IF(AND(K494&lt;70,I494="Low"),"At Risk","Stable")</f>
        <v>Stable</v>
      </c>
      <c r="X494" s="8" t="str">
        <f aca="false">IF(AND(K494&lt;75,I494="Low",J494="Bronze"),"Priority Followup","No Action")</f>
        <v>No Action</v>
      </c>
    </row>
    <row r="495" customFormat="false" ht="15" hidden="false" customHeight="false" outlineLevel="0" collapsed="false">
      <c r="A495" s="3" t="n">
        <v>493</v>
      </c>
      <c r="B495" s="3" t="n">
        <v>64</v>
      </c>
      <c r="C495" s="3" t="s">
        <v>11</v>
      </c>
      <c r="D495" s="3" t="s">
        <v>23</v>
      </c>
      <c r="E495" s="3" t="n">
        <v>84438</v>
      </c>
      <c r="F495" s="3" t="n">
        <v>8</v>
      </c>
      <c r="G495" s="3" t="n">
        <v>9</v>
      </c>
      <c r="H495" s="3" t="n">
        <v>17</v>
      </c>
      <c r="I495" s="3" t="s">
        <v>13</v>
      </c>
      <c r="J495" s="3" t="s">
        <v>16</v>
      </c>
      <c r="K495" s="3" t="n">
        <v>100</v>
      </c>
      <c r="L495" s="7" t="str">
        <f aca="false">IF(B495&lt;25,"Gen Z",IF(B495&lt;40,"Millennial",IF(B495&lt;55,"Gen X","Baby Boomer")))</f>
        <v>Baby Boomer</v>
      </c>
      <c r="M495" s="7" t="str">
        <f aca="false">IF(E495&lt;50000,"Low Income",IF(E495&lt;80000,"Middle Income",IF(E495&lt;100000,"Upper Middle","High Income")))</f>
        <v>Upper Middle</v>
      </c>
      <c r="N495" s="7" t="str">
        <f aca="false">IF(F495&lt;=3,"Poor",IF(F495&lt;=6,"Average",IF(F495&lt;=8,"Good","Excellent")))</f>
        <v>Good</v>
      </c>
      <c r="O495" s="7" t="str">
        <f aca="false">IF(G495&lt;=3,"Poor",IF(G495&lt;=6,"Average",IF(G495&lt;=8,"Good","Excellent")))</f>
        <v>Excellent</v>
      </c>
      <c r="P495" s="7" t="str">
        <f aca="false">IF(H495&lt;=5,"Low Frequency",IF(H495&lt;=10,"Moderate",IF(H495&lt;=15,"High","Very High")))</f>
        <v>Very High</v>
      </c>
      <c r="Q495" s="7" t="str">
        <f aca="false">IF(K495&gt;=90,"Highly Satisfied",IF(K495&gt;=75,"Satisfied",IF(K495&gt;=60,"Neutral","Dissatisfied")))</f>
        <v>Highly Satisfied</v>
      </c>
      <c r="R495" s="7" t="str">
        <f aca="false">UPPER(LEFT(TRIM(J495),1))&amp;LOWER(MID(TRIM(J495),2,100))</f>
        <v>Gold</v>
      </c>
      <c r="S495" s="7" t="str">
        <f aca="false">IF(I495="High","Positive",IF(I495="Medium","Neutral","Negative"))</f>
        <v>Negative</v>
      </c>
      <c r="T495" s="7" t="str">
        <f aca="false">IF(AND(E495&gt;=80000,H495&gt;=15),"Premium",IF(AND(E495&gt;=50000,H495&gt;=10),"Standard","Basic"))</f>
        <v>Premium</v>
      </c>
      <c r="U495" s="7" t="str">
        <f aca="false">IF(AND(F495&gt;=7,G495&gt;=7),"High Quality Experience","Review Needed")</f>
        <v>High Quality Experience</v>
      </c>
      <c r="V495" s="7" t="str">
        <f aca="false">IF(H495&gt;=10,"Repeat Buyer","Occasional Buyer")</f>
        <v>Repeat Buyer</v>
      </c>
      <c r="W495" s="7" t="str">
        <f aca="false">IF(AND(K495&lt;70,I495="Low"),"At Risk","Stable")</f>
        <v>Stable</v>
      </c>
      <c r="X495" s="7" t="str">
        <f aca="false">IF(AND(K495&lt;75,I495="Low",J495="Bronze"),"Priority Followup","No Action")</f>
        <v>No Action</v>
      </c>
    </row>
    <row r="496" customFormat="false" ht="15" hidden="false" customHeight="false" outlineLevel="0" collapsed="false">
      <c r="A496" s="2" t="n">
        <v>494</v>
      </c>
      <c r="B496" s="2" t="n">
        <v>51</v>
      </c>
      <c r="C496" s="2" t="s">
        <v>11</v>
      </c>
      <c r="D496" s="2" t="s">
        <v>12</v>
      </c>
      <c r="E496" s="2" t="n">
        <v>30680</v>
      </c>
      <c r="F496" s="2" t="n">
        <v>7</v>
      </c>
      <c r="G496" s="2" t="n">
        <v>3</v>
      </c>
      <c r="H496" s="2" t="n">
        <v>16</v>
      </c>
      <c r="I496" s="2" t="s">
        <v>15</v>
      </c>
      <c r="J496" s="2" t="s">
        <v>14</v>
      </c>
      <c r="K496" s="2" t="n">
        <v>73.15</v>
      </c>
      <c r="L496" s="8" t="str">
        <f aca="false">IF(B496&lt;25,"Gen Z",IF(B496&lt;40,"Millennial",IF(B496&lt;55,"Gen X","Baby Boomer")))</f>
        <v>Gen X</v>
      </c>
      <c r="M496" s="8" t="str">
        <f aca="false">IF(E496&lt;50000,"Low Income",IF(E496&lt;80000,"Middle Income",IF(E496&lt;100000,"Upper Middle","High Income")))</f>
        <v>Low Income</v>
      </c>
      <c r="N496" s="8" t="str">
        <f aca="false">IF(F496&lt;=3,"Poor",IF(F496&lt;=6,"Average",IF(F496&lt;=8,"Good","Excellent")))</f>
        <v>Good</v>
      </c>
      <c r="O496" s="8" t="str">
        <f aca="false">IF(G496&lt;=3,"Poor",IF(G496&lt;=6,"Average",IF(G496&lt;=8,"Good","Excellent")))</f>
        <v>Poor</v>
      </c>
      <c r="P496" s="8" t="str">
        <f aca="false">IF(H496&lt;=5,"Low Frequency",IF(H496&lt;=10,"Moderate",IF(H496&lt;=15,"High","Very High")))</f>
        <v>Very High</v>
      </c>
      <c r="Q496" s="8" t="str">
        <f aca="false">IF(K496&gt;=90,"Highly Satisfied",IF(K496&gt;=75,"Satisfied",IF(K496&gt;=60,"Neutral","Dissatisfied")))</f>
        <v>Neutral</v>
      </c>
      <c r="R496" s="8" t="str">
        <f aca="false">UPPER(LEFT(TRIM(J496),1))&amp;LOWER(MID(TRIM(J496),2,100))</f>
        <v>Bronze</v>
      </c>
      <c r="S496" s="8" t="str">
        <f aca="false">IF(I496="High","Positive",IF(I496="Medium","Neutral","Negative"))</f>
        <v>Neutral</v>
      </c>
      <c r="T496" s="8" t="str">
        <f aca="false">IF(AND(E496&gt;=80000,H496&gt;=15),"Premium",IF(AND(E496&gt;=50000,H496&gt;=10),"Standard","Basic"))</f>
        <v>Basic</v>
      </c>
      <c r="U496" s="8" t="str">
        <f aca="false">IF(AND(F496&gt;=7,G496&gt;=7),"High Quality Experience","Review Needed")</f>
        <v>Review Needed</v>
      </c>
      <c r="V496" s="8" t="str">
        <f aca="false">IF(H496&gt;=10,"Repeat Buyer","Occasional Buyer")</f>
        <v>Repeat Buyer</v>
      </c>
      <c r="W496" s="8" t="str">
        <f aca="false">IF(AND(K496&lt;70,I496="Low"),"At Risk","Stable")</f>
        <v>Stable</v>
      </c>
      <c r="X496" s="8" t="str">
        <f aca="false">IF(AND(K496&lt;75,I496="Low",J496="Bronze"),"Priority Followup","No Action")</f>
        <v>No Action</v>
      </c>
    </row>
    <row r="497" customFormat="false" ht="15" hidden="false" customHeight="false" outlineLevel="0" collapsed="false">
      <c r="A497" s="3" t="n">
        <v>495</v>
      </c>
      <c r="B497" s="3" t="n">
        <v>49</v>
      </c>
      <c r="C497" s="3" t="s">
        <v>17</v>
      </c>
      <c r="D497" s="3" t="s">
        <v>23</v>
      </c>
      <c r="E497" s="3" t="n">
        <v>95841</v>
      </c>
      <c r="F497" s="3" t="n">
        <v>8</v>
      </c>
      <c r="G497" s="3" t="n">
        <v>7</v>
      </c>
      <c r="H497" s="3" t="n">
        <v>3</v>
      </c>
      <c r="I497" s="3" t="s">
        <v>15</v>
      </c>
      <c r="J497" s="3" t="s">
        <v>16</v>
      </c>
      <c r="K497" s="3" t="n">
        <v>100</v>
      </c>
      <c r="L497" s="7" t="str">
        <f aca="false">IF(B497&lt;25,"Gen Z",IF(B497&lt;40,"Millennial",IF(B497&lt;55,"Gen X","Baby Boomer")))</f>
        <v>Gen X</v>
      </c>
      <c r="M497" s="7" t="str">
        <f aca="false">IF(E497&lt;50000,"Low Income",IF(E497&lt;80000,"Middle Income",IF(E497&lt;100000,"Upper Middle","High Income")))</f>
        <v>Upper Middle</v>
      </c>
      <c r="N497" s="7" t="str">
        <f aca="false">IF(F497&lt;=3,"Poor",IF(F497&lt;=6,"Average",IF(F497&lt;=8,"Good","Excellent")))</f>
        <v>Good</v>
      </c>
      <c r="O497" s="7" t="str">
        <f aca="false">IF(G497&lt;=3,"Poor",IF(G497&lt;=6,"Average",IF(G497&lt;=8,"Good","Excellent")))</f>
        <v>Good</v>
      </c>
      <c r="P497" s="7" t="str">
        <f aca="false">IF(H497&lt;=5,"Low Frequency",IF(H497&lt;=10,"Moderate",IF(H497&lt;=15,"High","Very High")))</f>
        <v>Low Frequency</v>
      </c>
      <c r="Q497" s="7" t="str">
        <f aca="false">IF(K497&gt;=90,"Highly Satisfied",IF(K497&gt;=75,"Satisfied",IF(K497&gt;=60,"Neutral","Dissatisfied")))</f>
        <v>Highly Satisfied</v>
      </c>
      <c r="R497" s="7" t="str">
        <f aca="false">UPPER(LEFT(TRIM(J497),1))&amp;LOWER(MID(TRIM(J497),2,100))</f>
        <v>Gold</v>
      </c>
      <c r="S497" s="7" t="str">
        <f aca="false">IF(I497="High","Positive",IF(I497="Medium","Neutral","Negative"))</f>
        <v>Neutral</v>
      </c>
      <c r="T497" s="7" t="str">
        <f aca="false">IF(AND(E497&gt;=80000,H497&gt;=15),"Premium",IF(AND(E497&gt;=50000,H497&gt;=10),"Standard","Basic"))</f>
        <v>Basic</v>
      </c>
      <c r="U497" s="7" t="str">
        <f aca="false">IF(AND(F497&gt;=7,G497&gt;=7),"High Quality Experience","Review Needed")</f>
        <v>High Quality Experience</v>
      </c>
      <c r="V497" s="7" t="str">
        <f aca="false">IF(H497&gt;=10,"Repeat Buyer","Occasional Buyer")</f>
        <v>Occasional Buyer</v>
      </c>
      <c r="W497" s="7" t="str">
        <f aca="false">IF(AND(K497&lt;70,I497="Low"),"At Risk","Stable")</f>
        <v>Stable</v>
      </c>
      <c r="X497" s="7" t="str">
        <f aca="false">IF(AND(K497&lt;75,I497="Low",J497="Bronze"),"Priority Followup","No Action")</f>
        <v>No Action</v>
      </c>
    </row>
    <row r="498" customFormat="false" ht="15" hidden="false" customHeight="false" outlineLevel="0" collapsed="false">
      <c r="A498" s="2" t="n">
        <v>496</v>
      </c>
      <c r="B498" s="2" t="n">
        <v>65</v>
      </c>
      <c r="C498" s="2" t="s">
        <v>17</v>
      </c>
      <c r="D498" s="2" t="s">
        <v>20</v>
      </c>
      <c r="E498" s="2" t="n">
        <v>47377</v>
      </c>
      <c r="F498" s="2" t="n">
        <v>3</v>
      </c>
      <c r="G498" s="2" t="n">
        <v>6</v>
      </c>
      <c r="H498" s="2" t="n">
        <v>18</v>
      </c>
      <c r="I498" s="2" t="s">
        <v>15</v>
      </c>
      <c r="J498" s="2" t="s">
        <v>16</v>
      </c>
      <c r="K498" s="2" t="n">
        <v>85.68</v>
      </c>
      <c r="L498" s="8" t="str">
        <f aca="false">IF(B498&lt;25,"Gen Z",IF(B498&lt;40,"Millennial",IF(B498&lt;55,"Gen X","Baby Boomer")))</f>
        <v>Baby Boomer</v>
      </c>
      <c r="M498" s="8" t="str">
        <f aca="false">IF(E498&lt;50000,"Low Income",IF(E498&lt;80000,"Middle Income",IF(E498&lt;100000,"Upper Middle","High Income")))</f>
        <v>Low Income</v>
      </c>
      <c r="N498" s="8" t="str">
        <f aca="false">IF(F498&lt;=3,"Poor",IF(F498&lt;=6,"Average",IF(F498&lt;=8,"Good","Excellent")))</f>
        <v>Poor</v>
      </c>
      <c r="O498" s="8" t="str">
        <f aca="false">IF(G498&lt;=3,"Poor",IF(G498&lt;=6,"Average",IF(G498&lt;=8,"Good","Excellent")))</f>
        <v>Average</v>
      </c>
      <c r="P498" s="8" t="str">
        <f aca="false">IF(H498&lt;=5,"Low Frequency",IF(H498&lt;=10,"Moderate",IF(H498&lt;=15,"High","Very High")))</f>
        <v>Very High</v>
      </c>
      <c r="Q498" s="8" t="str">
        <f aca="false">IF(K498&gt;=90,"Highly Satisfied",IF(K498&gt;=75,"Satisfied",IF(K498&gt;=60,"Neutral","Dissatisfied")))</f>
        <v>Satisfied</v>
      </c>
      <c r="R498" s="8" t="str">
        <f aca="false">UPPER(LEFT(TRIM(J498),1))&amp;LOWER(MID(TRIM(J498),2,100))</f>
        <v>Gold</v>
      </c>
      <c r="S498" s="8" t="str">
        <f aca="false">IF(I498="High","Positive",IF(I498="Medium","Neutral","Negative"))</f>
        <v>Neutral</v>
      </c>
      <c r="T498" s="8" t="str">
        <f aca="false">IF(AND(E498&gt;=80000,H498&gt;=15),"Premium",IF(AND(E498&gt;=50000,H498&gt;=10),"Standard","Basic"))</f>
        <v>Basic</v>
      </c>
      <c r="U498" s="8" t="str">
        <f aca="false">IF(AND(F498&gt;=7,G498&gt;=7),"High Quality Experience","Review Needed")</f>
        <v>Review Needed</v>
      </c>
      <c r="V498" s="8" t="str">
        <f aca="false">IF(H498&gt;=10,"Repeat Buyer","Occasional Buyer")</f>
        <v>Repeat Buyer</v>
      </c>
      <c r="W498" s="8" t="str">
        <f aca="false">IF(AND(K498&lt;70,I498="Low"),"At Risk","Stable")</f>
        <v>Stable</v>
      </c>
      <c r="X498" s="8" t="str">
        <f aca="false">IF(AND(K498&lt;75,I498="Low",J498="Bronze"),"Priority Followup","No Action")</f>
        <v>No Action</v>
      </c>
    </row>
    <row r="499" customFormat="false" ht="15" hidden="false" customHeight="false" outlineLevel="0" collapsed="false">
      <c r="A499" s="3" t="n">
        <v>497</v>
      </c>
      <c r="B499" s="3" t="n">
        <v>42</v>
      </c>
      <c r="C499" s="3" t="s">
        <v>11</v>
      </c>
      <c r="D499" s="3" t="s">
        <v>22</v>
      </c>
      <c r="E499" s="3" t="n">
        <v>109376</v>
      </c>
      <c r="F499" s="3" t="n">
        <v>7</v>
      </c>
      <c r="G499" s="3" t="n">
        <v>5</v>
      </c>
      <c r="H499" s="3" t="n">
        <v>19</v>
      </c>
      <c r="I499" s="3" t="s">
        <v>21</v>
      </c>
      <c r="J499" s="3" t="s">
        <v>14</v>
      </c>
      <c r="K499" s="3" t="n">
        <v>100</v>
      </c>
      <c r="L499" s="7" t="str">
        <f aca="false">IF(B499&lt;25,"Gen Z",IF(B499&lt;40,"Millennial",IF(B499&lt;55,"Gen X","Baby Boomer")))</f>
        <v>Gen X</v>
      </c>
      <c r="M499" s="7" t="str">
        <f aca="false">IF(E499&lt;50000,"Low Income",IF(E499&lt;80000,"Middle Income",IF(E499&lt;100000,"Upper Middle","High Income")))</f>
        <v>High Income</v>
      </c>
      <c r="N499" s="7" t="str">
        <f aca="false">IF(F499&lt;=3,"Poor",IF(F499&lt;=6,"Average",IF(F499&lt;=8,"Good","Excellent")))</f>
        <v>Good</v>
      </c>
      <c r="O499" s="7" t="str">
        <f aca="false">IF(G499&lt;=3,"Poor",IF(G499&lt;=6,"Average",IF(G499&lt;=8,"Good","Excellent")))</f>
        <v>Average</v>
      </c>
      <c r="P499" s="7" t="str">
        <f aca="false">IF(H499&lt;=5,"Low Frequency",IF(H499&lt;=10,"Moderate",IF(H499&lt;=15,"High","Very High")))</f>
        <v>Very High</v>
      </c>
      <c r="Q499" s="7" t="str">
        <f aca="false">IF(K499&gt;=90,"Highly Satisfied",IF(K499&gt;=75,"Satisfied",IF(K499&gt;=60,"Neutral","Dissatisfied")))</f>
        <v>Highly Satisfied</v>
      </c>
      <c r="R499" s="7" t="str">
        <f aca="false">UPPER(LEFT(TRIM(J499),1))&amp;LOWER(MID(TRIM(J499),2,100))</f>
        <v>Bronze</v>
      </c>
      <c r="S499" s="7" t="str">
        <f aca="false">IF(I499="High","Positive",IF(I499="Medium","Neutral","Negative"))</f>
        <v>Positive</v>
      </c>
      <c r="T499" s="7" t="str">
        <f aca="false">IF(AND(E499&gt;=80000,H499&gt;=15),"Premium",IF(AND(E499&gt;=50000,H499&gt;=10),"Standard","Basic"))</f>
        <v>Premium</v>
      </c>
      <c r="U499" s="7" t="str">
        <f aca="false">IF(AND(F499&gt;=7,G499&gt;=7),"High Quality Experience","Review Needed")</f>
        <v>Review Needed</v>
      </c>
      <c r="V499" s="7" t="str">
        <f aca="false">IF(H499&gt;=10,"Repeat Buyer","Occasional Buyer")</f>
        <v>Repeat Buyer</v>
      </c>
      <c r="W499" s="7" t="str">
        <f aca="false">IF(AND(K499&lt;70,I499="Low"),"At Risk","Stable")</f>
        <v>Stable</v>
      </c>
      <c r="X499" s="7" t="str">
        <f aca="false">IF(AND(K499&lt;75,I499="Low",J499="Bronze"),"Priority Followup","No Action")</f>
        <v>No Action</v>
      </c>
    </row>
    <row r="500" customFormat="false" ht="15" hidden="false" customHeight="false" outlineLevel="0" collapsed="false">
      <c r="A500" s="2" t="n">
        <v>498</v>
      </c>
      <c r="B500" s="2" t="n">
        <v>57</v>
      </c>
      <c r="C500" s="2" t="s">
        <v>17</v>
      </c>
      <c r="D500" s="2" t="s">
        <v>12</v>
      </c>
      <c r="E500" s="2" t="n">
        <v>86884</v>
      </c>
      <c r="F500" s="2" t="n">
        <v>7</v>
      </c>
      <c r="G500" s="2" t="n">
        <v>6</v>
      </c>
      <c r="H500" s="2" t="n">
        <v>19</v>
      </c>
      <c r="I500" s="2" t="s">
        <v>21</v>
      </c>
      <c r="J500" s="2" t="s">
        <v>14</v>
      </c>
      <c r="K500" s="2" t="n">
        <v>100</v>
      </c>
      <c r="L500" s="8" t="str">
        <f aca="false">IF(B500&lt;25,"Gen Z",IF(B500&lt;40,"Millennial",IF(B500&lt;55,"Gen X","Baby Boomer")))</f>
        <v>Baby Boomer</v>
      </c>
      <c r="M500" s="8" t="str">
        <f aca="false">IF(E500&lt;50000,"Low Income",IF(E500&lt;80000,"Middle Income",IF(E500&lt;100000,"Upper Middle","High Income")))</f>
        <v>Upper Middle</v>
      </c>
      <c r="N500" s="8" t="str">
        <f aca="false">IF(F500&lt;=3,"Poor",IF(F500&lt;=6,"Average",IF(F500&lt;=8,"Good","Excellent")))</f>
        <v>Good</v>
      </c>
      <c r="O500" s="8" t="str">
        <f aca="false">IF(G500&lt;=3,"Poor",IF(G500&lt;=6,"Average",IF(G500&lt;=8,"Good","Excellent")))</f>
        <v>Average</v>
      </c>
      <c r="P500" s="8" t="str">
        <f aca="false">IF(H500&lt;=5,"Low Frequency",IF(H500&lt;=10,"Moderate",IF(H500&lt;=15,"High","Very High")))</f>
        <v>Very High</v>
      </c>
      <c r="Q500" s="8" t="str">
        <f aca="false">IF(K500&gt;=90,"Highly Satisfied",IF(K500&gt;=75,"Satisfied",IF(K500&gt;=60,"Neutral","Dissatisfied")))</f>
        <v>Highly Satisfied</v>
      </c>
      <c r="R500" s="8" t="str">
        <f aca="false">UPPER(LEFT(TRIM(J500),1))&amp;LOWER(MID(TRIM(J500),2,100))</f>
        <v>Bronze</v>
      </c>
      <c r="S500" s="8" t="str">
        <f aca="false">IF(I500="High","Positive",IF(I500="Medium","Neutral","Negative"))</f>
        <v>Positive</v>
      </c>
      <c r="T500" s="8" t="str">
        <f aca="false">IF(AND(E500&gt;=80000,H500&gt;=15),"Premium",IF(AND(E500&gt;=50000,H500&gt;=10),"Standard","Basic"))</f>
        <v>Premium</v>
      </c>
      <c r="U500" s="8" t="str">
        <f aca="false">IF(AND(F500&gt;=7,G500&gt;=7),"High Quality Experience","Review Needed")</f>
        <v>Review Needed</v>
      </c>
      <c r="V500" s="8" t="str">
        <f aca="false">IF(H500&gt;=10,"Repeat Buyer","Occasional Buyer")</f>
        <v>Repeat Buyer</v>
      </c>
      <c r="W500" s="8" t="str">
        <f aca="false">IF(AND(K500&lt;70,I500="Low"),"At Risk","Stable")</f>
        <v>Stable</v>
      </c>
      <c r="X500" s="8" t="str">
        <f aca="false">IF(AND(K500&lt;75,I500="Low",J500="Bronze"),"Priority Followup","No Action")</f>
        <v>No Action</v>
      </c>
    </row>
    <row r="501" customFormat="false" ht="15" hidden="false" customHeight="false" outlineLevel="0" collapsed="false">
      <c r="A501" s="3" t="n">
        <v>499</v>
      </c>
      <c r="B501" s="3" t="n">
        <v>62</v>
      </c>
      <c r="C501" s="3" t="s">
        <v>11</v>
      </c>
      <c r="D501" s="3" t="s">
        <v>23</v>
      </c>
      <c r="E501" s="3" t="n">
        <v>64169</v>
      </c>
      <c r="F501" s="3" t="n">
        <v>4</v>
      </c>
      <c r="G501" s="3" t="n">
        <v>1</v>
      </c>
      <c r="H501" s="3" t="n">
        <v>10</v>
      </c>
      <c r="I501" s="3" t="s">
        <v>21</v>
      </c>
      <c r="J501" s="3" t="s">
        <v>19</v>
      </c>
      <c r="K501" s="3" t="n">
        <v>75.48</v>
      </c>
      <c r="L501" s="7" t="str">
        <f aca="false">IF(B501&lt;25,"Gen Z",IF(B501&lt;40,"Millennial",IF(B501&lt;55,"Gen X","Baby Boomer")))</f>
        <v>Baby Boomer</v>
      </c>
      <c r="M501" s="7" t="str">
        <f aca="false">IF(E501&lt;50000,"Low Income",IF(E501&lt;80000,"Middle Income",IF(E501&lt;100000,"Upper Middle","High Income")))</f>
        <v>Middle Income</v>
      </c>
      <c r="N501" s="7" t="str">
        <f aca="false">IF(F501&lt;=3,"Poor",IF(F501&lt;=6,"Average",IF(F501&lt;=8,"Good","Excellent")))</f>
        <v>Average</v>
      </c>
      <c r="O501" s="7" t="str">
        <f aca="false">IF(G501&lt;=3,"Poor",IF(G501&lt;=6,"Average",IF(G501&lt;=8,"Good","Excellent")))</f>
        <v>Poor</v>
      </c>
      <c r="P501" s="7" t="str">
        <f aca="false">IF(H501&lt;=5,"Low Frequency",IF(H501&lt;=10,"Moderate",IF(H501&lt;=15,"High","Very High")))</f>
        <v>Moderate</v>
      </c>
      <c r="Q501" s="7" t="str">
        <f aca="false">IF(K501&gt;=90,"Highly Satisfied",IF(K501&gt;=75,"Satisfied",IF(K501&gt;=60,"Neutral","Dissatisfied")))</f>
        <v>Satisfied</v>
      </c>
      <c r="R501" s="7" t="str">
        <f aca="false">UPPER(LEFT(TRIM(J501),1))&amp;LOWER(MID(TRIM(J501),2,100))</f>
        <v>Silver</v>
      </c>
      <c r="S501" s="7" t="str">
        <f aca="false">IF(I501="High","Positive",IF(I501="Medium","Neutral","Negative"))</f>
        <v>Positive</v>
      </c>
      <c r="T501" s="7" t="str">
        <f aca="false">IF(AND(E501&gt;=80000,H501&gt;=15),"Premium",IF(AND(E501&gt;=50000,H501&gt;=10),"Standard","Basic"))</f>
        <v>Standard</v>
      </c>
      <c r="U501" s="7" t="str">
        <f aca="false">IF(AND(F501&gt;=7,G501&gt;=7),"High Quality Experience","Review Needed")</f>
        <v>Review Needed</v>
      </c>
      <c r="V501" s="7" t="str">
        <f aca="false">IF(H501&gt;=10,"Repeat Buyer","Occasional Buyer")</f>
        <v>Repeat Buyer</v>
      </c>
      <c r="W501" s="7" t="str">
        <f aca="false">IF(AND(K501&lt;70,I501="Low"),"At Risk","Stable")</f>
        <v>Stable</v>
      </c>
      <c r="X501" s="7" t="str">
        <f aca="false">IF(AND(K501&lt;75,I501="Low",J501="Bronze"),"Priority Followup","No Action")</f>
        <v>No Action</v>
      </c>
    </row>
    <row r="502" customFormat="false" ht="15" hidden="false" customHeight="false" outlineLevel="0" collapsed="false">
      <c r="A502" s="2" t="n">
        <v>500</v>
      </c>
      <c r="B502" s="2" t="n">
        <v>18</v>
      </c>
      <c r="C502" s="2" t="s">
        <v>17</v>
      </c>
      <c r="D502" s="2" t="s">
        <v>22</v>
      </c>
      <c r="E502" s="2" t="n">
        <v>94694</v>
      </c>
      <c r="F502" s="2" t="n">
        <v>9</v>
      </c>
      <c r="G502" s="2" t="n">
        <v>8</v>
      </c>
      <c r="H502" s="2" t="n">
        <v>14</v>
      </c>
      <c r="I502" s="2" t="s">
        <v>21</v>
      </c>
      <c r="J502" s="2" t="s">
        <v>14</v>
      </c>
      <c r="K502" s="2" t="n">
        <v>100</v>
      </c>
      <c r="L502" s="8" t="str">
        <f aca="false">IF(B502&lt;25,"Gen Z",IF(B502&lt;40,"Millennial",IF(B502&lt;55,"Gen X","Baby Boomer")))</f>
        <v>Gen Z</v>
      </c>
      <c r="M502" s="8" t="str">
        <f aca="false">IF(E502&lt;50000,"Low Income",IF(E502&lt;80000,"Middle Income",IF(E502&lt;100000,"Upper Middle","High Income")))</f>
        <v>Upper Middle</v>
      </c>
      <c r="N502" s="8" t="str">
        <f aca="false">IF(F502&lt;=3,"Poor",IF(F502&lt;=6,"Average",IF(F502&lt;=8,"Good","Excellent")))</f>
        <v>Excellent</v>
      </c>
      <c r="O502" s="8" t="str">
        <f aca="false">IF(G502&lt;=3,"Poor",IF(G502&lt;=6,"Average",IF(G502&lt;=8,"Good","Excellent")))</f>
        <v>Good</v>
      </c>
      <c r="P502" s="8" t="str">
        <f aca="false">IF(H502&lt;=5,"Low Frequency",IF(H502&lt;=10,"Moderate",IF(H502&lt;=15,"High","Very High")))</f>
        <v>High</v>
      </c>
      <c r="Q502" s="8" t="str">
        <f aca="false">IF(K502&gt;=90,"Highly Satisfied",IF(K502&gt;=75,"Satisfied",IF(K502&gt;=60,"Neutral","Dissatisfied")))</f>
        <v>Highly Satisfied</v>
      </c>
      <c r="R502" s="8" t="str">
        <f aca="false">UPPER(LEFT(TRIM(J502),1))&amp;LOWER(MID(TRIM(J502),2,100))</f>
        <v>Bronze</v>
      </c>
      <c r="S502" s="8" t="str">
        <f aca="false">IF(I502="High","Positive",IF(I502="Medium","Neutral","Negative"))</f>
        <v>Positive</v>
      </c>
      <c r="T502" s="8" t="str">
        <f aca="false">IF(AND(E502&gt;=80000,H502&gt;=15),"Premium",IF(AND(E502&gt;=50000,H502&gt;=10),"Standard","Basic"))</f>
        <v>Standard</v>
      </c>
      <c r="U502" s="8" t="str">
        <f aca="false">IF(AND(F502&gt;=7,G502&gt;=7),"High Quality Experience","Review Needed")</f>
        <v>High Quality Experience</v>
      </c>
      <c r="V502" s="8" t="str">
        <f aca="false">IF(H502&gt;=10,"Repeat Buyer","Occasional Buyer")</f>
        <v>Repeat Buyer</v>
      </c>
      <c r="W502" s="8" t="str">
        <f aca="false">IF(AND(K502&lt;70,I502="Low"),"At Risk","Stable")</f>
        <v>Stable</v>
      </c>
      <c r="X502" s="8" t="str">
        <f aca="false">IF(AND(K502&lt;75,I502="Low",J502="Bronze"),"Priority Followup","No Action")</f>
        <v>No Action</v>
      </c>
    </row>
  </sheetData>
  <mergeCells count="1">
    <mergeCell ref="A1:X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32"/>
    <col collapsed="false" customWidth="true" hidden="false" outlineLevel="0" max="5" min="4" style="0" width="65"/>
    <col collapsed="false" customWidth="true" hidden="false" outlineLevel="0" max="6" min="6" style="0" width="14"/>
  </cols>
  <sheetData>
    <row r="1" customFormat="false" ht="30" hidden="false" customHeight="true" outlineLevel="0" collapsed="false">
      <c r="A1" s="9" t="s">
        <v>38</v>
      </c>
      <c r="B1" s="9"/>
      <c r="C1" s="9"/>
      <c r="D1" s="9"/>
      <c r="E1" s="9"/>
      <c r="F1" s="9"/>
    </row>
    <row r="2" customFormat="false" ht="7.5" hidden="false" customHeight="true" outlineLevel="0" collapsed="false"/>
    <row r="3" customFormat="false" ht="21.75" hidden="false" customHeight="true" outlineLevel="0" collapsed="false">
      <c r="A3" s="10" t="s">
        <v>39</v>
      </c>
      <c r="B3" s="10" t="s">
        <v>40</v>
      </c>
      <c r="C3" s="10" t="s">
        <v>41</v>
      </c>
      <c r="D3" s="10" t="s">
        <v>42</v>
      </c>
      <c r="E3" s="10" t="s">
        <v>43</v>
      </c>
      <c r="F3" s="10" t="s">
        <v>44</v>
      </c>
    </row>
    <row r="4" customFormat="false" ht="19.5" hidden="false" customHeight="true" outlineLevel="0" collapsed="false">
      <c r="A4" s="11" t="s">
        <v>45</v>
      </c>
      <c r="B4" s="12" t="s">
        <v>46</v>
      </c>
      <c r="C4" s="13" t="s">
        <v>47</v>
      </c>
      <c r="D4" s="13" t="n">
        <f aca="false">COUNTA(Cleaned_Data!A3:A502)</f>
        <v>500</v>
      </c>
      <c r="E4" s="13" t="n">
        <f aca="false">COUNTA(Cleaned_Data!A3:A502)</f>
        <v>500</v>
      </c>
      <c r="F4" s="13" t="s">
        <v>48</v>
      </c>
    </row>
    <row r="5" customFormat="false" ht="19.5" hidden="false" customHeight="true" outlineLevel="0" collapsed="false">
      <c r="A5" s="14" t="s">
        <v>49</v>
      </c>
      <c r="B5" s="15" t="s">
        <v>50</v>
      </c>
      <c r="C5" s="16" t="s">
        <v>51</v>
      </c>
      <c r="D5" s="16" t="n">
        <f aca="false">AVERAGE(Cleaned_Data!K3:K502)</f>
        <v>87.70032</v>
      </c>
      <c r="E5" s="17" t="n">
        <f aca="false">AVERAGE(Cleaned_Data!K3:K502)</f>
        <v>87.70032</v>
      </c>
      <c r="F5" s="18" t="s">
        <v>52</v>
      </c>
    </row>
    <row r="6" customFormat="false" ht="19.5" hidden="false" customHeight="true" outlineLevel="0" collapsed="false">
      <c r="A6" s="11" t="s">
        <v>53</v>
      </c>
      <c r="B6" s="12" t="s">
        <v>54</v>
      </c>
      <c r="C6" s="13" t="s">
        <v>55</v>
      </c>
      <c r="D6" s="13" t="n">
        <f aca="false">AVERAGE(Cleaned_Data!F3:F502)</f>
        <v>5.606</v>
      </c>
      <c r="E6" s="19" t="n">
        <f aca="false">AVERAGE(Cleaned_Data!F3:F502)</f>
        <v>5.606</v>
      </c>
      <c r="F6" s="18" t="s">
        <v>52</v>
      </c>
    </row>
    <row r="7" customFormat="false" ht="19.5" hidden="false" customHeight="true" outlineLevel="0" collapsed="false">
      <c r="A7" s="14" t="s">
        <v>56</v>
      </c>
      <c r="B7" s="15" t="s">
        <v>57</v>
      </c>
      <c r="C7" s="16" t="s">
        <v>58</v>
      </c>
      <c r="D7" s="16" t="n">
        <f aca="false">AVERAGE(Cleaned_Data!G3:G502)</f>
        <v>5.738</v>
      </c>
      <c r="E7" s="17" t="n">
        <f aca="false">AVERAGE(Cleaned_Data!G3:G502)</f>
        <v>5.738</v>
      </c>
      <c r="F7" s="18" t="s">
        <v>52</v>
      </c>
    </row>
    <row r="8" customFormat="false" ht="19.5" hidden="false" customHeight="true" outlineLevel="0" collapsed="false">
      <c r="A8" s="11" t="s">
        <v>59</v>
      </c>
      <c r="B8" s="12" t="s">
        <v>60</v>
      </c>
      <c r="C8" s="13" t="s">
        <v>61</v>
      </c>
      <c r="D8" s="13" t="n">
        <f aca="false">AVERAGE(Cleaned_Data!H3:H502)</f>
        <v>10.568</v>
      </c>
      <c r="E8" s="20" t="n">
        <f aca="false">AVERAGE(Cleaned_Data!H3:H502)</f>
        <v>10.568</v>
      </c>
      <c r="F8" s="18" t="s">
        <v>62</v>
      </c>
    </row>
    <row r="9" customFormat="false" ht="19.5" hidden="false" customHeight="true" outlineLevel="0" collapsed="false">
      <c r="A9" s="14" t="s">
        <v>63</v>
      </c>
      <c r="B9" s="15" t="s">
        <v>64</v>
      </c>
      <c r="C9" s="16" t="s">
        <v>65</v>
      </c>
      <c r="D9" s="16" t="n">
        <f aca="false">COUNTIF(Cleaned_Data!I3:I502,"High")</f>
        <v>174</v>
      </c>
      <c r="E9" s="16" t="n">
        <f aca="false">COUNTIF(Cleaned_Data!I3:I502,"High")</f>
        <v>174</v>
      </c>
      <c r="F9" s="13" t="s">
        <v>48</v>
      </c>
    </row>
    <row r="10" customFormat="false" ht="19.5" hidden="false" customHeight="true" outlineLevel="0" collapsed="false">
      <c r="A10" s="11" t="s">
        <v>66</v>
      </c>
      <c r="B10" s="12" t="s">
        <v>67</v>
      </c>
      <c r="C10" s="13" t="s">
        <v>65</v>
      </c>
      <c r="D10" s="13" t="n">
        <f aca="false">COUNTIF(Cleaned_Data!I3:I502,"Medium")</f>
        <v>166</v>
      </c>
      <c r="E10" s="13" t="n">
        <f aca="false">COUNTIF(Cleaned_Data!I3:I502,"Medium")</f>
        <v>166</v>
      </c>
      <c r="F10" s="13" t="s">
        <v>48</v>
      </c>
    </row>
    <row r="11" customFormat="false" ht="19.5" hidden="false" customHeight="true" outlineLevel="0" collapsed="false">
      <c r="A11" s="14" t="s">
        <v>68</v>
      </c>
      <c r="B11" s="15" t="s">
        <v>69</v>
      </c>
      <c r="C11" s="16" t="s">
        <v>65</v>
      </c>
      <c r="D11" s="16" t="n">
        <f aca="false">COUNTIF(Cleaned_Data!I3:I502,"Low")</f>
        <v>160</v>
      </c>
      <c r="E11" s="16" t="n">
        <f aca="false">COUNTIF(Cleaned_Data!I3:I502,"Low")</f>
        <v>160</v>
      </c>
      <c r="F11" s="13" t="s">
        <v>48</v>
      </c>
    </row>
    <row r="12" customFormat="false" ht="19.5" hidden="false" customHeight="true" outlineLevel="0" collapsed="false">
      <c r="A12" s="11" t="s">
        <v>70</v>
      </c>
      <c r="B12" s="12" t="s">
        <v>71</v>
      </c>
      <c r="C12" s="13" t="s">
        <v>72</v>
      </c>
      <c r="D12" s="13" t="n">
        <f aca="false">COUNTIF(Cleaned_Data!J3:J502,"Gold")</f>
        <v>171</v>
      </c>
      <c r="E12" s="13" t="n">
        <f aca="false">COUNTIF(Cleaned_Data!J3:J502,"Gold")</f>
        <v>171</v>
      </c>
      <c r="F12" s="13" t="s">
        <v>48</v>
      </c>
    </row>
    <row r="13" customFormat="false" ht="19.5" hidden="false" customHeight="true" outlineLevel="0" collapsed="false">
      <c r="A13" s="14" t="s">
        <v>73</v>
      </c>
      <c r="B13" s="15" t="s">
        <v>74</v>
      </c>
      <c r="C13" s="16" t="s">
        <v>72</v>
      </c>
      <c r="D13" s="16" t="n">
        <f aca="false">COUNTIF(Cleaned_Data!J3:J502,"Silver")</f>
        <v>176</v>
      </c>
      <c r="E13" s="16" t="n">
        <f aca="false">COUNTIF(Cleaned_Data!J3:J502,"Silver")</f>
        <v>176</v>
      </c>
      <c r="F13" s="13" t="s">
        <v>48</v>
      </c>
    </row>
    <row r="14" customFormat="false" ht="19.5" hidden="false" customHeight="true" outlineLevel="0" collapsed="false">
      <c r="A14" s="11" t="s">
        <v>75</v>
      </c>
      <c r="B14" s="12" t="s">
        <v>76</v>
      </c>
      <c r="C14" s="13" t="s">
        <v>72</v>
      </c>
      <c r="D14" s="13" t="n">
        <f aca="false">COUNTIF(Cleaned_Data!J3:J502,"Bronze")</f>
        <v>153</v>
      </c>
      <c r="E14" s="13" t="n">
        <f aca="false">COUNTIF(Cleaned_Data!J3:J502,"Bronze")</f>
        <v>153</v>
      </c>
      <c r="F14" s="13" t="s">
        <v>48</v>
      </c>
    </row>
    <row r="15" customFormat="false" ht="19.5" hidden="false" customHeight="true" outlineLevel="0" collapsed="false">
      <c r="A15" s="14" t="s">
        <v>77</v>
      </c>
      <c r="B15" s="15" t="s">
        <v>78</v>
      </c>
      <c r="C15" s="16" t="s">
        <v>79</v>
      </c>
      <c r="D15" s="16" t="n">
        <f aca="false">COUNTIF(Cleaned_Data!W3:W502,"At Risk")</f>
        <v>20</v>
      </c>
      <c r="E15" s="16" t="n">
        <f aca="false">COUNTIF(Cleaned_Data!W3:W502,"At Risk")</f>
        <v>20</v>
      </c>
      <c r="F15" s="13" t="s">
        <v>48</v>
      </c>
    </row>
    <row r="16" customFormat="false" ht="19.5" hidden="false" customHeight="true" outlineLevel="0" collapsed="false">
      <c r="A16" s="11" t="s">
        <v>80</v>
      </c>
      <c r="B16" s="12" t="s">
        <v>81</v>
      </c>
      <c r="C16" s="13" t="s">
        <v>82</v>
      </c>
      <c r="D16" s="13" t="n">
        <f aca="false">AVERAGE(Cleaned_Data!E3:E502)</f>
        <v>75537.292</v>
      </c>
      <c r="E16" s="21" t="n">
        <f aca="false">AVERAGE(Cleaned_Data!E3:E502)</f>
        <v>75537.292</v>
      </c>
      <c r="F16" s="22" t="s">
        <v>83</v>
      </c>
    </row>
    <row r="17" customFormat="false" ht="19.5" hidden="false" customHeight="true" outlineLevel="0" collapsed="false">
      <c r="A17" s="14" t="s">
        <v>84</v>
      </c>
      <c r="B17" s="15" t="s">
        <v>85</v>
      </c>
      <c r="C17" s="16" t="s">
        <v>51</v>
      </c>
      <c r="D17" s="16" t="n">
        <f aca="false">COUNTIF(Cleaned_Data!K3:K502,"&gt;=75")/COUNTA(Cleaned_Data!A3:A502)</f>
        <v>0.812</v>
      </c>
      <c r="E17" s="23" t="n">
        <f aca="false">COUNTIF(Cleaned_Data!K3:K502,"&gt;=75")/COUNTA(Cleaned_Data!A3:A502)</f>
        <v>0.812</v>
      </c>
      <c r="F17" s="24" t="s">
        <v>86</v>
      </c>
    </row>
    <row r="18" customFormat="false" ht="19.5" hidden="false" customHeight="true" outlineLevel="0" collapsed="false">
      <c r="A18" s="11" t="s">
        <v>87</v>
      </c>
      <c r="B18" s="12" t="s">
        <v>88</v>
      </c>
      <c r="C18" s="13" t="s">
        <v>89</v>
      </c>
      <c r="D18" s="13" t="n">
        <f aca="false">COUNTIF(Cleaned_Data!X3:X502,"Priority Followup")</f>
        <v>4</v>
      </c>
      <c r="E18" s="13" t="n">
        <f aca="false">COUNTIF(Cleaned_Data!X3:X502,"Priority Followup")</f>
        <v>4</v>
      </c>
      <c r="F18" s="13" t="s">
        <v>48</v>
      </c>
    </row>
    <row r="19" customFormat="false" ht="19.5" hidden="false" customHeight="true" outlineLevel="0" collapsed="false">
      <c r="A19" s="14" t="s">
        <v>90</v>
      </c>
      <c r="B19" s="15" t="s">
        <v>91</v>
      </c>
      <c r="C19" s="16" t="s">
        <v>51</v>
      </c>
      <c r="D19" s="16" t="n">
        <f aca="false">COUNTIF(Cleaned_Data!K3:K502,"&gt;=90")</f>
        <v>290</v>
      </c>
      <c r="E19" s="16" t="n">
        <f aca="false">COUNTIF(Cleaned_Data!K3:K502,"&gt;=90")</f>
        <v>290</v>
      </c>
      <c r="F19" s="13" t="s">
        <v>48</v>
      </c>
    </row>
    <row r="20" customFormat="false" ht="19.5" hidden="false" customHeight="true" outlineLevel="0" collapsed="false">
      <c r="A20" s="11" t="s">
        <v>92</v>
      </c>
      <c r="B20" s="12" t="s">
        <v>93</v>
      </c>
      <c r="C20" s="13" t="s">
        <v>51</v>
      </c>
      <c r="D20" s="13" t="n">
        <f aca="false">COUNTIF(Cleaned_Data!K3:K502,"&lt;60")</f>
        <v>39</v>
      </c>
      <c r="E20" s="13" t="n">
        <f aca="false">COUNTIF(Cleaned_Data!K3:K502,"&lt;60")</f>
        <v>39</v>
      </c>
      <c r="F20" s="13" t="s">
        <v>48</v>
      </c>
    </row>
    <row r="21" customFormat="false" ht="19.5" hidden="false" customHeight="true" outlineLevel="0" collapsed="false">
      <c r="A21" s="14" t="s">
        <v>94</v>
      </c>
      <c r="B21" s="15" t="s">
        <v>95</v>
      </c>
      <c r="C21" s="16" t="s">
        <v>96</v>
      </c>
      <c r="D21" s="16" t="n">
        <f aca="false">COUNTIF(Cleaned_Data!V3:V502,"Repeat Buyer")</f>
        <v>281</v>
      </c>
      <c r="E21" s="16" t="n">
        <f aca="false">COUNTIF(Cleaned_Data!V3:V502,"Repeat Buyer")</f>
        <v>281</v>
      </c>
      <c r="F21" s="13" t="s">
        <v>48</v>
      </c>
    </row>
    <row r="22" customFormat="false" ht="19.5" hidden="false" customHeight="true" outlineLevel="0" collapsed="false">
      <c r="A22" s="11" t="s">
        <v>97</v>
      </c>
      <c r="B22" s="12" t="s">
        <v>98</v>
      </c>
      <c r="C22" s="13" t="s">
        <v>99</v>
      </c>
      <c r="D22" s="13" t="n">
        <f aca="false">COUNTIF(Cleaned_Data!U3:U502,"High Quality Experience")</f>
        <v>76</v>
      </c>
      <c r="E22" s="13" t="n">
        <f aca="false">COUNTIF(Cleaned_Data!U3:U502,"High Quality Experience")</f>
        <v>76</v>
      </c>
      <c r="F22" s="13" t="s">
        <v>48</v>
      </c>
    </row>
    <row r="23" customFormat="false" ht="19.5" hidden="false" customHeight="true" outlineLevel="0" collapsed="false">
      <c r="A23" s="14" t="s">
        <v>100</v>
      </c>
      <c r="B23" s="15" t="s">
        <v>101</v>
      </c>
      <c r="C23" s="16" t="s">
        <v>102</v>
      </c>
      <c r="D23" s="16" t="n">
        <f aca="false">COUNTIF(Cleaned_Data!T3:T502,"Premium")</f>
        <v>63</v>
      </c>
      <c r="E23" s="16" t="n">
        <f aca="false">COUNTIF(Cleaned_Data!T3:T502,"Premium")</f>
        <v>63</v>
      </c>
      <c r="F23" s="13" t="s">
        <v>48</v>
      </c>
    </row>
    <row r="24" customFormat="false" ht="19.5" hidden="false" customHeight="true" outlineLevel="0" collapsed="false">
      <c r="A24" s="11" t="s">
        <v>103</v>
      </c>
      <c r="B24" s="12" t="s">
        <v>104</v>
      </c>
      <c r="C24" s="13" t="s">
        <v>65</v>
      </c>
      <c r="D24" s="13" t="n">
        <f aca="false">COUNTIF(Cleaned_Data!I3:I502,"High")/COUNTA(Cleaned_Data!A3:A502)</f>
        <v>0.348</v>
      </c>
      <c r="E24" s="25" t="n">
        <f aca="false">COUNTIF(Cleaned_Data!I3:I502,"High")/COUNTA(Cleaned_Data!A3:A502)</f>
        <v>0.348</v>
      </c>
      <c r="F24" s="24" t="s">
        <v>86</v>
      </c>
    </row>
    <row r="25" customFormat="false" ht="19.5" hidden="false" customHeight="true" outlineLevel="0" collapsed="false">
      <c r="A25" s="14" t="s">
        <v>105</v>
      </c>
      <c r="B25" s="15" t="s">
        <v>106</v>
      </c>
      <c r="C25" s="16" t="s">
        <v>65</v>
      </c>
      <c r="D25" s="16" t="n">
        <f aca="false">COUNTIF(Cleaned_Data!I3:I502,"Low")/COUNTA(Cleaned_Data!A3:A502)</f>
        <v>0.32</v>
      </c>
      <c r="E25" s="23" t="n">
        <f aca="false">COUNTIF(Cleaned_Data!I3:I502,"Low")/COUNTA(Cleaned_Data!A3:A502)</f>
        <v>0.32</v>
      </c>
      <c r="F25" s="24" t="s">
        <v>86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N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22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4" min="14" style="0" width="14"/>
  </cols>
  <sheetData>
    <row r="1" customFormat="false" ht="30" hidden="false" customHeight="true" outlineLevel="0" collapsed="false">
      <c r="A1" s="9" t="s">
        <v>107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3" customFormat="false" ht="21.75" hidden="false" customHeight="true" outlineLevel="0" collapsed="false">
      <c r="A3" s="26" t="s">
        <v>108</v>
      </c>
      <c r="B3" s="26"/>
      <c r="C3" s="26"/>
      <c r="D3" s="26"/>
      <c r="F3" s="27" t="s">
        <v>109</v>
      </c>
      <c r="G3" s="27"/>
      <c r="H3" s="27"/>
      <c r="J3" s="28" t="s">
        <v>110</v>
      </c>
      <c r="K3" s="28"/>
      <c r="L3" s="28"/>
      <c r="M3" s="28"/>
    </row>
    <row r="4" customFormat="false" ht="15" hidden="false" customHeight="false" outlineLevel="0" collapsed="false">
      <c r="A4" s="5" t="s">
        <v>3</v>
      </c>
      <c r="B4" s="5" t="s">
        <v>111</v>
      </c>
      <c r="C4" s="5" t="s">
        <v>112</v>
      </c>
      <c r="D4" s="5" t="s">
        <v>113</v>
      </c>
      <c r="F4" s="29" t="s">
        <v>114</v>
      </c>
      <c r="G4" s="29" t="s">
        <v>115</v>
      </c>
      <c r="H4" s="29" t="s">
        <v>112</v>
      </c>
      <c r="J4" s="30" t="s">
        <v>3</v>
      </c>
      <c r="K4" s="30" t="s">
        <v>116</v>
      </c>
      <c r="L4" s="30" t="s">
        <v>117</v>
      </c>
      <c r="M4" s="30" t="s">
        <v>112</v>
      </c>
    </row>
    <row r="5" customFormat="false" ht="15" hidden="false" customHeight="false" outlineLevel="0" collapsed="false">
      <c r="A5" s="31" t="s">
        <v>23</v>
      </c>
      <c r="B5" s="31" t="n">
        <v>112</v>
      </c>
      <c r="C5" s="31" t="n">
        <v>87.38</v>
      </c>
      <c r="D5" s="31" t="n">
        <v>80148</v>
      </c>
      <c r="F5" s="3" t="s">
        <v>14</v>
      </c>
      <c r="G5" s="3" t="n">
        <v>153</v>
      </c>
      <c r="H5" s="3" t="n">
        <v>90.29</v>
      </c>
      <c r="J5" s="32" t="s">
        <v>23</v>
      </c>
      <c r="K5" s="32" t="n">
        <v>5.67</v>
      </c>
      <c r="L5" s="32" t="n">
        <v>5.41</v>
      </c>
      <c r="M5" s="32" t="n">
        <v>87.38</v>
      </c>
    </row>
    <row r="6" customFormat="false" ht="15" hidden="false" customHeight="false" outlineLevel="0" collapsed="false">
      <c r="A6" s="3" t="s">
        <v>20</v>
      </c>
      <c r="B6" s="3" t="n">
        <v>95</v>
      </c>
      <c r="C6" s="3" t="n">
        <v>88.87</v>
      </c>
      <c r="D6" s="3" t="n">
        <v>75837</v>
      </c>
      <c r="F6" s="3" t="s">
        <v>16</v>
      </c>
      <c r="G6" s="3" t="n">
        <v>171</v>
      </c>
      <c r="H6" s="3" t="n">
        <v>87.52</v>
      </c>
      <c r="J6" s="3" t="s">
        <v>20</v>
      </c>
      <c r="K6" s="3" t="n">
        <v>5.62</v>
      </c>
      <c r="L6" s="3" t="n">
        <v>5.96</v>
      </c>
      <c r="M6" s="3" t="n">
        <v>88.87</v>
      </c>
    </row>
    <row r="7" customFormat="false" ht="15" hidden="false" customHeight="false" outlineLevel="0" collapsed="false">
      <c r="A7" s="31" t="s">
        <v>22</v>
      </c>
      <c r="B7" s="31" t="n">
        <v>94</v>
      </c>
      <c r="C7" s="31" t="n">
        <v>88.42</v>
      </c>
      <c r="D7" s="31" t="n">
        <v>74270</v>
      </c>
      <c r="F7" s="3" t="s">
        <v>19</v>
      </c>
      <c r="G7" s="3" t="n">
        <v>176</v>
      </c>
      <c r="H7" s="3" t="n">
        <v>85.63</v>
      </c>
      <c r="J7" s="32" t="s">
        <v>22</v>
      </c>
      <c r="K7" s="32" t="n">
        <v>5.64</v>
      </c>
      <c r="L7" s="32" t="n">
        <v>5.9</v>
      </c>
      <c r="M7" s="32" t="n">
        <v>88.42</v>
      </c>
    </row>
    <row r="8" customFormat="false" ht="15" hidden="false" customHeight="false" outlineLevel="0" collapsed="false">
      <c r="A8" s="3" t="s">
        <v>12</v>
      </c>
      <c r="B8" s="3" t="n">
        <v>83</v>
      </c>
      <c r="C8" s="3" t="n">
        <v>87.91</v>
      </c>
      <c r="D8" s="3" t="n">
        <v>70795</v>
      </c>
      <c r="J8" s="3" t="s">
        <v>12</v>
      </c>
      <c r="K8" s="3" t="n">
        <v>5.67</v>
      </c>
      <c r="L8" s="3" t="n">
        <v>5.88</v>
      </c>
      <c r="M8" s="3" t="n">
        <v>87.91</v>
      </c>
    </row>
    <row r="9" customFormat="false" ht="15" hidden="false" customHeight="false" outlineLevel="0" collapsed="false">
      <c r="A9" s="31" t="s">
        <v>18</v>
      </c>
      <c r="B9" s="31" t="n">
        <v>116</v>
      </c>
      <c r="C9" s="31" t="n">
        <v>86.32</v>
      </c>
      <c r="D9" s="31" t="n">
        <v>75261</v>
      </c>
      <c r="J9" s="32" t="s">
        <v>18</v>
      </c>
      <c r="K9" s="32" t="n">
        <v>5.46</v>
      </c>
      <c r="L9" s="32" t="n">
        <v>5.64</v>
      </c>
      <c r="M9" s="32" t="n">
        <v>86.32</v>
      </c>
    </row>
    <row r="14" customFormat="false" ht="21.75" hidden="false" customHeight="true" outlineLevel="0" collapsed="false">
      <c r="A14" s="33" t="s">
        <v>118</v>
      </c>
      <c r="B14" s="33"/>
      <c r="C14" s="33"/>
      <c r="D14" s="33"/>
      <c r="E14" s="33"/>
      <c r="G14" s="34" t="s">
        <v>119</v>
      </c>
      <c r="H14" s="34"/>
      <c r="I14" s="34"/>
      <c r="K14" s="34" t="s">
        <v>120</v>
      </c>
      <c r="L14" s="34"/>
      <c r="M14" s="34"/>
      <c r="N14" s="34"/>
    </row>
    <row r="15" customFormat="false" ht="15" hidden="false" customHeight="false" outlineLevel="0" collapsed="false">
      <c r="A15" s="35" t="s">
        <v>3</v>
      </c>
      <c r="B15" s="35" t="s">
        <v>21</v>
      </c>
      <c r="C15" s="35" t="s">
        <v>15</v>
      </c>
      <c r="D15" s="35" t="s">
        <v>13</v>
      </c>
      <c r="E15" s="35" t="s">
        <v>121</v>
      </c>
      <c r="G15" s="36" t="s">
        <v>2</v>
      </c>
      <c r="H15" s="36" t="s">
        <v>115</v>
      </c>
      <c r="I15" s="36" t="s">
        <v>112</v>
      </c>
      <c r="K15" s="36" t="s">
        <v>3</v>
      </c>
      <c r="L15" s="36" t="s">
        <v>121</v>
      </c>
      <c r="M15" s="36" t="s">
        <v>122</v>
      </c>
      <c r="N15" s="36" t="s">
        <v>123</v>
      </c>
    </row>
    <row r="16" customFormat="false" ht="15" hidden="false" customHeight="false" outlineLevel="0" collapsed="false">
      <c r="A16" s="37" t="s">
        <v>23</v>
      </c>
      <c r="B16" s="37" t="n">
        <v>33</v>
      </c>
      <c r="C16" s="37" t="n">
        <v>43</v>
      </c>
      <c r="D16" s="37" t="n">
        <v>36</v>
      </c>
      <c r="E16" s="37" t="n">
        <v>112</v>
      </c>
      <c r="G16" s="3" t="s">
        <v>17</v>
      </c>
      <c r="H16" s="3" t="n">
        <v>223</v>
      </c>
      <c r="I16" s="3" t="n">
        <v>86.78</v>
      </c>
      <c r="K16" s="3" t="s">
        <v>23</v>
      </c>
      <c r="L16" s="3" t="n">
        <v>112</v>
      </c>
      <c r="M16" s="3" t="n">
        <v>3</v>
      </c>
      <c r="N16" s="3" t="s">
        <v>124</v>
      </c>
    </row>
    <row r="17" customFormat="false" ht="15" hidden="false" customHeight="false" outlineLevel="0" collapsed="false">
      <c r="A17" s="3" t="s">
        <v>20</v>
      </c>
      <c r="B17" s="3" t="n">
        <v>35</v>
      </c>
      <c r="C17" s="3" t="n">
        <v>38</v>
      </c>
      <c r="D17" s="3" t="n">
        <v>22</v>
      </c>
      <c r="E17" s="3" t="n">
        <v>95</v>
      </c>
      <c r="G17" s="3" t="s">
        <v>11</v>
      </c>
      <c r="H17" s="3" t="n">
        <v>277</v>
      </c>
      <c r="I17" s="3" t="n">
        <v>88.44</v>
      </c>
      <c r="K17" s="3" t="s">
        <v>20</v>
      </c>
      <c r="L17" s="3" t="n">
        <v>95</v>
      </c>
      <c r="M17" s="3" t="n">
        <v>2</v>
      </c>
      <c r="N17" s="3" t="s">
        <v>125</v>
      </c>
    </row>
    <row r="18" customFormat="false" ht="15" hidden="false" customHeight="false" outlineLevel="0" collapsed="false">
      <c r="A18" s="37" t="s">
        <v>22</v>
      </c>
      <c r="B18" s="37" t="n">
        <v>37</v>
      </c>
      <c r="C18" s="37" t="n">
        <v>28</v>
      </c>
      <c r="D18" s="37" t="n">
        <v>29</v>
      </c>
      <c r="E18" s="37" t="n">
        <v>94</v>
      </c>
      <c r="K18" s="3" t="s">
        <v>22</v>
      </c>
      <c r="L18" s="3" t="n">
        <v>94</v>
      </c>
      <c r="M18" s="3" t="n">
        <v>3</v>
      </c>
      <c r="N18" s="3" t="s">
        <v>126</v>
      </c>
    </row>
    <row r="19" customFormat="false" ht="15" hidden="false" customHeight="false" outlineLevel="0" collapsed="false">
      <c r="A19" s="3" t="s">
        <v>12</v>
      </c>
      <c r="B19" s="3" t="n">
        <v>29</v>
      </c>
      <c r="C19" s="3" t="n">
        <v>22</v>
      </c>
      <c r="D19" s="3" t="n">
        <v>32</v>
      </c>
      <c r="E19" s="3" t="n">
        <v>83</v>
      </c>
      <c r="K19" s="3" t="s">
        <v>12</v>
      </c>
      <c r="L19" s="3" t="n">
        <v>83</v>
      </c>
      <c r="M19" s="38" t="n">
        <v>5</v>
      </c>
      <c r="N19" s="3" t="s">
        <v>127</v>
      </c>
    </row>
    <row r="20" customFormat="false" ht="15" hidden="false" customHeight="false" outlineLevel="0" collapsed="false">
      <c r="A20" s="37" t="s">
        <v>18</v>
      </c>
      <c r="B20" s="37" t="n">
        <v>40</v>
      </c>
      <c r="C20" s="37" t="n">
        <v>35</v>
      </c>
      <c r="D20" s="37" t="n">
        <v>41</v>
      </c>
      <c r="E20" s="37" t="n">
        <v>116</v>
      </c>
      <c r="K20" s="3" t="s">
        <v>18</v>
      </c>
      <c r="L20" s="3" t="n">
        <v>116</v>
      </c>
      <c r="M20" s="38" t="n">
        <v>7</v>
      </c>
      <c r="N20" s="3" t="s">
        <v>127</v>
      </c>
    </row>
    <row r="24" customFormat="false" ht="21.75" hidden="false" customHeight="true" outlineLevel="0" collapsed="false">
      <c r="A24" s="39" t="s">
        <v>128</v>
      </c>
      <c r="B24" s="39"/>
      <c r="C24" s="39"/>
      <c r="D24" s="39"/>
      <c r="F24" s="40" t="s">
        <v>129</v>
      </c>
      <c r="G24" s="40"/>
      <c r="H24" s="40"/>
      <c r="I24" s="40"/>
      <c r="J24" s="40"/>
    </row>
    <row r="25" customFormat="false" ht="15" hidden="false" customHeight="false" outlineLevel="0" collapsed="false">
      <c r="A25" s="41" t="s">
        <v>130</v>
      </c>
      <c r="B25" s="41" t="s">
        <v>115</v>
      </c>
      <c r="C25" s="41" t="s">
        <v>112</v>
      </c>
      <c r="D25" s="41" t="s">
        <v>113</v>
      </c>
      <c r="F25" s="42" t="s">
        <v>131</v>
      </c>
      <c r="G25" s="42" t="s">
        <v>14</v>
      </c>
      <c r="H25" s="42" t="s">
        <v>16</v>
      </c>
      <c r="I25" s="42" t="s">
        <v>19</v>
      </c>
      <c r="J25" s="42" t="s">
        <v>121</v>
      </c>
    </row>
    <row r="26" customFormat="false" ht="15" hidden="false" customHeight="false" outlineLevel="0" collapsed="false">
      <c r="A26" s="43" t="s">
        <v>132</v>
      </c>
      <c r="B26" s="43" t="n">
        <v>123</v>
      </c>
      <c r="C26" s="43" t="n">
        <v>86.3</v>
      </c>
      <c r="D26" s="43" t="n">
        <v>74590</v>
      </c>
      <c r="F26" s="3" t="s">
        <v>133</v>
      </c>
      <c r="G26" s="3" t="n">
        <v>28</v>
      </c>
      <c r="H26" s="3" t="n">
        <v>43</v>
      </c>
      <c r="I26" s="3" t="n">
        <v>40</v>
      </c>
      <c r="J26" s="3" t="n">
        <v>111</v>
      </c>
    </row>
    <row r="27" customFormat="false" ht="15" hidden="false" customHeight="false" outlineLevel="0" collapsed="false">
      <c r="A27" s="3" t="s">
        <v>134</v>
      </c>
      <c r="B27" s="3" t="n">
        <v>116</v>
      </c>
      <c r="C27" s="3" t="n">
        <v>87.69</v>
      </c>
      <c r="D27" s="3" t="n">
        <v>75033</v>
      </c>
      <c r="F27" s="3" t="s">
        <v>135</v>
      </c>
      <c r="G27" s="3" t="n">
        <v>54</v>
      </c>
      <c r="H27" s="3" t="n">
        <v>58</v>
      </c>
      <c r="I27" s="3" t="n">
        <v>62</v>
      </c>
      <c r="J27" s="3" t="n">
        <v>174</v>
      </c>
    </row>
    <row r="28" customFormat="false" ht="15" hidden="false" customHeight="false" outlineLevel="0" collapsed="false">
      <c r="A28" s="43" t="s">
        <v>136</v>
      </c>
      <c r="B28" s="43" t="n">
        <v>136</v>
      </c>
      <c r="C28" s="43" t="n">
        <v>87.46</v>
      </c>
      <c r="D28" s="43" t="n">
        <v>78523</v>
      </c>
      <c r="F28" s="3" t="s">
        <v>137</v>
      </c>
      <c r="G28" s="3" t="n">
        <v>33</v>
      </c>
      <c r="H28" s="3" t="n">
        <v>34</v>
      </c>
      <c r="I28" s="3" t="n">
        <v>30</v>
      </c>
      <c r="J28" s="3" t="n">
        <v>97</v>
      </c>
    </row>
    <row r="29" customFormat="false" ht="15" hidden="false" customHeight="false" outlineLevel="0" collapsed="false">
      <c r="A29" s="3" t="s">
        <v>138</v>
      </c>
      <c r="B29" s="3" t="n">
        <v>125</v>
      </c>
      <c r="C29" s="3" t="n">
        <v>89.35</v>
      </c>
      <c r="D29" s="3" t="n">
        <v>73688</v>
      </c>
      <c r="F29" s="3" t="s">
        <v>139</v>
      </c>
      <c r="G29" s="3" t="n">
        <v>38</v>
      </c>
      <c r="H29" s="3" t="n">
        <v>36</v>
      </c>
      <c r="I29" s="3" t="n">
        <v>44</v>
      </c>
      <c r="J29" s="3" t="n">
        <v>118</v>
      </c>
    </row>
  </sheetData>
  <mergeCells count="9">
    <mergeCell ref="A1:N1"/>
    <mergeCell ref="A3:D3"/>
    <mergeCell ref="F3:H3"/>
    <mergeCell ref="J3:M3"/>
    <mergeCell ref="A14:E14"/>
    <mergeCell ref="G14:I14"/>
    <mergeCell ref="K14:N14"/>
    <mergeCell ref="A24:D24"/>
    <mergeCell ref="F24:J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R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9" min="1" style="0" width="15"/>
  </cols>
  <sheetData>
    <row r="1" customFormat="false" ht="42" hidden="false" customHeight="true" outlineLevel="0" collapsed="false">
      <c r="A1" s="44" t="s">
        <v>140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</row>
    <row r="2" customFormat="false" ht="6" hidden="false" customHeight="true" outlineLevel="0" collapsed="false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</row>
    <row r="3" customFormat="false" ht="21.75" hidden="false" customHeight="true" outlineLevel="0" collapsed="false">
      <c r="A3" s="46" t="s">
        <v>141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</row>
    <row r="4" customFormat="false" ht="9.75" hidden="false" customHeight="true" outlineLevel="0" collapsed="false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</row>
    <row r="5" customFormat="false" ht="12" hidden="false" customHeight="true" outlineLevel="0" collapsed="false">
      <c r="A5" s="47"/>
      <c r="B5" s="47"/>
      <c r="C5" s="47"/>
      <c r="D5" s="48"/>
      <c r="E5" s="48"/>
      <c r="F5" s="48"/>
      <c r="G5" s="49"/>
      <c r="H5" s="49"/>
      <c r="I5" s="49"/>
      <c r="J5" s="50"/>
      <c r="K5" s="50"/>
      <c r="L5" s="50"/>
      <c r="M5" s="51"/>
      <c r="N5" s="51"/>
      <c r="O5" s="51"/>
      <c r="P5" s="52"/>
      <c r="Q5" s="52"/>
      <c r="R5" s="52"/>
    </row>
    <row r="6" customFormat="false" ht="36" hidden="false" customHeight="true" outlineLevel="0" collapsed="false">
      <c r="A6" s="53" t="n">
        <f aca="false">KPI_Calculations!E4</f>
        <v>500</v>
      </c>
      <c r="B6" s="53"/>
      <c r="C6" s="53"/>
      <c r="D6" s="54" t="n">
        <f aca="false">KPI_Calculations!E5</f>
        <v>87.70032</v>
      </c>
      <c r="E6" s="54"/>
      <c r="F6" s="54"/>
      <c r="G6" s="55" t="n">
        <f aca="false">KPI_Calculations!E6</f>
        <v>5.606</v>
      </c>
      <c r="H6" s="55"/>
      <c r="I6" s="55"/>
      <c r="J6" s="56" t="n">
        <f aca="false">KPI_Calculations!E8</f>
        <v>10.568</v>
      </c>
      <c r="K6" s="56"/>
      <c r="L6" s="56"/>
      <c r="M6" s="57" t="n">
        <f aca="false">KPI_Calculations!E12</f>
        <v>171</v>
      </c>
      <c r="N6" s="57"/>
      <c r="O6" s="57"/>
      <c r="P6" s="58" t="n">
        <f aca="false">KPI_Calculations!E9</f>
        <v>174</v>
      </c>
      <c r="Q6" s="58"/>
      <c r="R6" s="58"/>
    </row>
    <row r="7" customFormat="false" ht="19.5" hidden="false" customHeight="true" outlineLevel="0" collapsed="false">
      <c r="A7" s="59" t="s">
        <v>45</v>
      </c>
      <c r="B7" s="59"/>
      <c r="C7" s="59"/>
      <c r="D7" s="60" t="s">
        <v>49</v>
      </c>
      <c r="E7" s="60"/>
      <c r="F7" s="60"/>
      <c r="G7" s="61" t="s">
        <v>142</v>
      </c>
      <c r="H7" s="61"/>
      <c r="I7" s="61"/>
      <c r="J7" s="62" t="s">
        <v>143</v>
      </c>
      <c r="K7" s="62"/>
      <c r="L7" s="62"/>
      <c r="M7" s="63" t="s">
        <v>77</v>
      </c>
      <c r="N7" s="63"/>
      <c r="O7" s="63"/>
      <c r="P7" s="64" t="s">
        <v>70</v>
      </c>
      <c r="Q7" s="64"/>
      <c r="R7" s="64"/>
    </row>
    <row r="8" customFormat="false" ht="6" hidden="false" customHeight="true" outlineLevel="0" collapsed="false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</row>
    <row r="9" customFormat="false" ht="9.75" hidden="false" customHeight="true" outlineLevel="0" collapsed="false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</row>
    <row r="10" customFormat="false" ht="9.75" hidden="false" customHeight="true" outlineLevel="0" collapsed="false">
      <c r="A10" s="66"/>
      <c r="B10" s="66"/>
      <c r="C10" s="66"/>
      <c r="D10" s="49"/>
      <c r="E10" s="49"/>
      <c r="F10" s="49"/>
      <c r="G10" s="67"/>
      <c r="H10" s="67"/>
      <c r="I10" s="67"/>
      <c r="J10" s="52"/>
      <c r="K10" s="52"/>
      <c r="L10" s="52"/>
      <c r="M10" s="50"/>
      <c r="N10" s="50"/>
      <c r="O10" s="50"/>
      <c r="P10" s="68"/>
      <c r="Q10" s="68"/>
      <c r="R10" s="68"/>
    </row>
    <row r="11" customFormat="false" ht="27.75" hidden="false" customHeight="true" outlineLevel="0" collapsed="false">
      <c r="A11" s="69" t="n">
        <f aca="false">KPI_Calculations!E7</f>
        <v>5.738</v>
      </c>
      <c r="B11" s="69"/>
      <c r="C11" s="69"/>
      <c r="D11" s="70" t="n">
        <f aca="false">KPI_Calculations!E8</f>
        <v>10.568</v>
      </c>
      <c r="E11" s="70"/>
      <c r="F11" s="70"/>
      <c r="G11" s="71" t="n">
        <f aca="false">KPI_Calculations!E14</f>
        <v>153</v>
      </c>
      <c r="H11" s="71"/>
      <c r="I11" s="71"/>
      <c r="J11" s="72" t="n">
        <f aca="false">KPI_Calculations!E18</f>
        <v>4</v>
      </c>
      <c r="K11" s="72"/>
      <c r="L11" s="72"/>
      <c r="M11" s="73" t="n">
        <f aca="false">KPI_Calculations!E15</f>
        <v>20</v>
      </c>
      <c r="N11" s="73"/>
      <c r="O11" s="73"/>
      <c r="P11" s="74" t="n">
        <f aca="false">KPI_Calculations!E20</f>
        <v>39</v>
      </c>
      <c r="Q11" s="74"/>
      <c r="R11" s="74"/>
    </row>
    <row r="12" customFormat="false" ht="18" hidden="false" customHeight="true" outlineLevel="0" collapsed="false">
      <c r="A12" s="75" t="s">
        <v>53</v>
      </c>
      <c r="B12" s="75"/>
      <c r="C12" s="75"/>
      <c r="D12" s="61" t="s">
        <v>56</v>
      </c>
      <c r="E12" s="61"/>
      <c r="F12" s="61"/>
      <c r="G12" s="76" t="s">
        <v>84</v>
      </c>
      <c r="H12" s="76"/>
      <c r="I12" s="76"/>
      <c r="J12" s="64" t="s">
        <v>94</v>
      </c>
      <c r="K12" s="64"/>
      <c r="L12" s="64"/>
      <c r="M12" s="62" t="s">
        <v>144</v>
      </c>
      <c r="N12" s="62"/>
      <c r="O12" s="62"/>
      <c r="P12" s="77" t="s">
        <v>100</v>
      </c>
      <c r="Q12" s="77"/>
      <c r="R12" s="77"/>
    </row>
    <row r="13" customFormat="false" ht="6" hidden="false" customHeight="true" outlineLevel="0" collapsed="false">
      <c r="A13" s="65"/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</row>
    <row r="14" customFormat="false" ht="9.75" hidden="false" customHeight="true" outlineLevel="0" collapsed="false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</row>
    <row r="15" customFormat="false" ht="21.75" hidden="false" customHeight="true" outlineLevel="0" collapsed="false">
      <c r="A15" s="26" t="s">
        <v>145</v>
      </c>
      <c r="B15" s="26"/>
      <c r="C15" s="26"/>
      <c r="D15" s="26"/>
      <c r="E15" s="26"/>
      <c r="F15" s="26"/>
      <c r="G15" s="27" t="s">
        <v>146</v>
      </c>
      <c r="H15" s="27"/>
      <c r="I15" s="27"/>
      <c r="J15" s="27"/>
      <c r="K15" s="27"/>
      <c r="L15" s="27"/>
      <c r="M15" s="33" t="s">
        <v>147</v>
      </c>
      <c r="N15" s="33"/>
      <c r="O15" s="33"/>
      <c r="P15" s="33"/>
      <c r="Q15" s="33"/>
      <c r="R15" s="33"/>
    </row>
    <row r="16" customFormat="false" ht="18" hidden="false" customHeight="true" outlineLevel="0" collapsed="false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</row>
    <row r="17" customFormat="false" ht="18" hidden="false" customHeight="true" outlineLevel="0" collapsed="false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</row>
    <row r="18" customFormat="false" ht="18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</row>
    <row r="19" customFormat="false" ht="18" hidden="false" customHeight="tru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</row>
    <row r="20" customFormat="false" ht="18" hidden="false" customHeight="true" outlineLevel="0" collapsed="false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</row>
    <row r="21" customFormat="false" ht="18" hidden="false" customHeight="true" outlineLevel="0" collapsed="false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</row>
    <row r="22" customFormat="false" ht="18" hidden="false" customHeight="true" outlineLevel="0" collapsed="false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</row>
    <row r="23" customFormat="false" ht="18" hidden="false" customHeight="true" outlineLevel="0" collapsed="false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</row>
    <row r="24" customFormat="false" ht="18" hidden="false" customHeight="true" outlineLevel="0" collapsed="false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</row>
    <row r="25" customFormat="false" ht="18" hidden="false" customHeight="true" outlineLevel="0" collapsed="false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</row>
    <row r="26" customFormat="false" ht="18" hidden="false" customHeight="true" outlineLevel="0" collapsed="false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</row>
    <row r="27" customFormat="false" ht="18" hidden="false" customHeight="true" outlineLevel="0" collapsed="false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</row>
    <row r="28" customFormat="false" ht="18" hidden="false" customHeight="true" outlineLevel="0" collapsed="false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</row>
    <row r="29" customFormat="false" ht="18" hidden="false" customHeight="true" outlineLevel="0" collapsed="false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</row>
    <row r="30" customFormat="false" ht="18" hidden="false" customHeight="true" outlineLevel="0" collapsed="false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</row>
    <row r="31" customFormat="false" ht="18" hidden="false" customHeight="true" outlineLevel="0" collapsed="false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</row>
    <row r="32" customFormat="false" ht="12" hidden="false" customHeight="true" outlineLevel="0" collapsed="false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</row>
    <row r="33" customFormat="false" ht="21.75" hidden="false" customHeight="true" outlineLevel="0" collapsed="false">
      <c r="A33" s="34" t="s">
        <v>148</v>
      </c>
      <c r="B33" s="34"/>
      <c r="C33" s="34"/>
      <c r="D33" s="34"/>
      <c r="E33" s="34"/>
      <c r="F33" s="34"/>
      <c r="G33" s="28" t="s">
        <v>149</v>
      </c>
      <c r="H33" s="28"/>
      <c r="I33" s="28"/>
      <c r="J33" s="28"/>
      <c r="K33" s="28"/>
      <c r="L33" s="28"/>
      <c r="M33" s="39" t="s">
        <v>150</v>
      </c>
      <c r="N33" s="39"/>
      <c r="O33" s="39"/>
      <c r="P33" s="39"/>
      <c r="Q33" s="39"/>
      <c r="R33" s="39"/>
    </row>
    <row r="34" customFormat="false" ht="18" hidden="false" customHeight="true" outlineLevel="0" collapsed="false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</row>
    <row r="35" customFormat="false" ht="18" hidden="false" customHeight="true" outlineLevel="0" collapsed="false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</row>
    <row r="36" customFormat="false" ht="18" hidden="false" customHeight="true" outlineLevel="0" collapsed="false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</row>
    <row r="37" customFormat="false" ht="18" hidden="false" customHeight="true" outlineLevel="0" collapsed="false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</row>
    <row r="38" customFormat="false" ht="18" hidden="false" customHeight="true" outlineLevel="0" collapsed="false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</row>
    <row r="39" customFormat="false" ht="18" hidden="false" customHeight="true" outlineLevel="0" collapsed="false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</row>
    <row r="40" customFormat="false" ht="18" hidden="false" customHeight="true" outlineLevel="0" collapsed="false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</row>
    <row r="41" customFormat="false" ht="18" hidden="false" customHeight="true" outlineLevel="0" collapsed="false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</row>
    <row r="42" customFormat="false" ht="18" hidden="false" customHeight="true" outlineLevel="0" collapsed="false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</row>
    <row r="43" customFormat="false" ht="18" hidden="false" customHeight="true" outlineLevel="0" collapsed="false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</row>
    <row r="44" customFormat="false" ht="18" hidden="false" customHeight="true" outlineLevel="0" collapsed="false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</row>
    <row r="45" customFormat="false" ht="18" hidden="false" customHeight="true" outlineLevel="0" collapsed="false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</row>
    <row r="46" customFormat="false" ht="18" hidden="false" customHeight="true" outlineLevel="0" collapsed="false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</row>
    <row r="47" customFormat="false" ht="18" hidden="false" customHeight="true" outlineLevel="0" collapsed="false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</row>
    <row r="48" customFormat="false" ht="18" hidden="false" customHeight="true" outlineLevel="0" collapsed="false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</row>
    <row r="49" customFormat="false" ht="18" hidden="false" customHeight="true" outlineLevel="0" collapsed="false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</row>
    <row r="50" customFormat="false" ht="9.75" hidden="false" customHeight="true" outlineLevel="0" collapsed="false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</row>
    <row r="51" customFormat="false" ht="18" hidden="false" customHeight="true" outlineLevel="0" collapsed="false">
      <c r="A51" s="78" t="s">
        <v>151</v>
      </c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</row>
    <row r="52" customFormat="false" ht="18" hidden="false" customHeight="true" outlineLevel="0" collapsed="false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</row>
    <row r="53" customFormat="false" ht="18" hidden="false" customHeight="true" outlineLevel="0" collapsed="false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</row>
    <row r="54" customFormat="false" ht="18" hidden="false" customHeight="true" outlineLevel="0" collapsed="false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</row>
    <row r="55" customFormat="false" ht="18" hidden="false" customHeight="true" outlineLevel="0" collapsed="false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</row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</sheetData>
  <mergeCells count="57">
    <mergeCell ref="A1:R1"/>
    <mergeCell ref="A3:R3"/>
    <mergeCell ref="A5:C5"/>
    <mergeCell ref="D5:F5"/>
    <mergeCell ref="G5:I5"/>
    <mergeCell ref="J5:L5"/>
    <mergeCell ref="M5:O5"/>
    <mergeCell ref="P5:R5"/>
    <mergeCell ref="A6:C6"/>
    <mergeCell ref="D6:F6"/>
    <mergeCell ref="G6:I6"/>
    <mergeCell ref="J6:L6"/>
    <mergeCell ref="M6:O6"/>
    <mergeCell ref="P6:R6"/>
    <mergeCell ref="A7:C7"/>
    <mergeCell ref="D7:F7"/>
    <mergeCell ref="G7:I7"/>
    <mergeCell ref="J7:L7"/>
    <mergeCell ref="M7:O7"/>
    <mergeCell ref="P7:R7"/>
    <mergeCell ref="A8:C8"/>
    <mergeCell ref="D8:F8"/>
    <mergeCell ref="G8:I8"/>
    <mergeCell ref="J8:L8"/>
    <mergeCell ref="M8:O8"/>
    <mergeCell ref="P8:R8"/>
    <mergeCell ref="A10:C10"/>
    <mergeCell ref="D10:F10"/>
    <mergeCell ref="G10:I10"/>
    <mergeCell ref="J10:L10"/>
    <mergeCell ref="M10:O10"/>
    <mergeCell ref="P10:R10"/>
    <mergeCell ref="A11:C11"/>
    <mergeCell ref="D11:F11"/>
    <mergeCell ref="G11:I11"/>
    <mergeCell ref="J11:L11"/>
    <mergeCell ref="M11:O11"/>
    <mergeCell ref="P11:R11"/>
    <mergeCell ref="A12:C12"/>
    <mergeCell ref="D12:F12"/>
    <mergeCell ref="G12:I12"/>
    <mergeCell ref="J12:L12"/>
    <mergeCell ref="M12:O12"/>
    <mergeCell ref="P12:R12"/>
    <mergeCell ref="A13:C13"/>
    <mergeCell ref="D13:F13"/>
    <mergeCell ref="G13:I13"/>
    <mergeCell ref="J13:L13"/>
    <mergeCell ref="M13:O13"/>
    <mergeCell ref="P13:R13"/>
    <mergeCell ref="A15:F15"/>
    <mergeCell ref="G15:L15"/>
    <mergeCell ref="M15:R15"/>
    <mergeCell ref="A33:F33"/>
    <mergeCell ref="G33:L33"/>
    <mergeCell ref="M33:R33"/>
    <mergeCell ref="A51:R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2026-06-23T06:21:52Z</dcterms:created>
  <dc:creator>openpyxl</dc:creator>
  <dc:description/>
  <dc:language>en-US</dc:language>
  <cp:lastModifiedBy/>
  <dcterms:modified xsi:type="dcterms:W3CDTF">2026-06-23T06:22:01Z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